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84469A6-A5CD-41FB-98F1-55E02DEE872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akeoff" sheetId="1" r:id="rId1"/>
    <sheet name="Materials to ord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H13" i="4"/>
</calcChain>
</file>

<file path=xl/sharedStrings.xml><?xml version="1.0" encoding="utf-8"?>
<sst xmlns="http://schemas.openxmlformats.org/spreadsheetml/2006/main" count="127" uniqueCount="69">
  <si>
    <t>D01</t>
  </si>
  <si>
    <t>2026-10-13</t>
  </si>
  <si>
    <t>Item</t>
  </si>
  <si>
    <t>Description</t>
  </si>
  <si>
    <t>Drawing</t>
  </si>
  <si>
    <t>Page</t>
  </si>
  <si>
    <t>Type</t>
  </si>
  <si>
    <t>Quantity</t>
  </si>
  <si>
    <t>Unit</t>
  </si>
  <si>
    <t>Notes</t>
  </si>
  <si>
    <t>1</t>
  </si>
  <si>
    <t>Door Leaf</t>
  </si>
  <si>
    <t>ARAK-P1R1-INB-SD-ID-RES-ZZZ-3320277-02.pdf</t>
  </si>
  <si>
    <t/>
  </si>
  <si>
    <t>1.1</t>
  </si>
  <si>
    <t xml:space="preserve">    Door Leaf </t>
  </si>
  <si>
    <t>sq m</t>
  </si>
  <si>
    <t>1.2</t>
  </si>
  <si>
    <t xml:space="preserve">    Door Leaf</t>
  </si>
  <si>
    <t>2.0424 sq m × 2</t>
  </si>
  <si>
    <t>2</t>
  </si>
  <si>
    <t>DOOR Architrave</t>
  </si>
  <si>
    <t>2.1</t>
  </si>
  <si>
    <t xml:space="preserve">    DOOR Architrave </t>
  </si>
  <si>
    <t>2.2</t>
  </si>
  <si>
    <t xml:space="preserve">    DOOR Architrave 2</t>
  </si>
  <si>
    <t>2.3</t>
  </si>
  <si>
    <t xml:space="preserve">    DOOR Architrave 3</t>
  </si>
  <si>
    <t>2.4</t>
  </si>
  <si>
    <t xml:space="preserve">    DOOR Architrave 4</t>
  </si>
  <si>
    <t>3</t>
  </si>
  <si>
    <t>ARAK-P1R1-INB-SD-ID-RES-ZZZ-3320361-01.pdf</t>
  </si>
  <si>
    <t>4</t>
  </si>
  <si>
    <t>Door Frame</t>
  </si>
  <si>
    <t>4.1</t>
  </si>
  <si>
    <t xml:space="preserve">    Door Frame </t>
  </si>
  <si>
    <t>5</t>
  </si>
  <si>
    <t>5.1</t>
  </si>
  <si>
    <t xml:space="preserve">    Door Frame 1</t>
  </si>
  <si>
    <t>m</t>
  </si>
  <si>
    <t>5.2</t>
  </si>
  <si>
    <t xml:space="preserve">    Door Frame 2</t>
  </si>
  <si>
    <t>5.3</t>
  </si>
  <si>
    <t xml:space="preserve">    Door Frame 3</t>
  </si>
  <si>
    <t>Prepared with Foldrule · 2026-10-14</t>
  </si>
  <si>
    <t>m²</t>
  </si>
  <si>
    <t>RAK Doors — Materials to order</t>
  </si>
  <si>
    <t>Net quantity from the bill, plus waste, converted to the unit each material is bought in. Whole packs are rounded up. Material cost only: no labour or equipment.</t>
  </si>
  <si>
    <t>Code</t>
  </si>
  <si>
    <t>Material</t>
  </si>
  <si>
    <t>Net quantity</t>
  </si>
  <si>
    <t>Waste</t>
  </si>
  <si>
    <t>Order</t>
  </si>
  <si>
    <t>Buy by</t>
  </si>
  <si>
    <t>Supplier</t>
  </si>
  <si>
    <t>06 00 00</t>
  </si>
  <si>
    <t>12mmThk
plain
MDF</t>
  </si>
  <si>
    <t>m2</t>
  </si>
  <si>
    <t>06 00 01</t>
  </si>
  <si>
    <t>FR60mins
Doorcore</t>
  </si>
  <si>
    <t>Solid
Wood</t>
  </si>
  <si>
    <t>Timber</t>
  </si>
  <si>
    <t xml:space="preserve">Wrapping
Veneer
WD002
</t>
  </si>
  <si>
    <t>Materials to buy</t>
  </si>
  <si>
    <t>Door Core</t>
  </si>
  <si>
    <t>Solid Wood</t>
  </si>
  <si>
    <t>m3</t>
  </si>
  <si>
    <t>Wrapping Veneer WD002</t>
  </si>
  <si>
    <t>12mm plain 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</si>
</sst>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#%"/>
  </numFmts>
  <fonts count="9" x14ac:knownFonts="1">
    <font>
      <sz val="11"/>
      <color theme="1"/>
      <name val="Calibri"/>
      <family val="2"/>
      <scheme val="minor"/>
    </font>
    <font>
      <b/>
      <sz val="15"/>
      <color rgb="FF1F2328"/>
      <name val="Calibri"/>
    </font>
    <font>
      <sz val="10"/>
      <color rgb="FF5B6470"/>
      <name val="Calibri"/>
    </font>
    <font>
      <b/>
      <sz val="11"/>
      <color rgb="FFFFFFFF"/>
      <name val="Calibri"/>
    </font>
    <font>
      <b/>
      <sz val="11"/>
      <color rgb="FF1F2328"/>
      <name val="Calibri"/>
    </font>
    <font>
      <sz val="11"/>
      <color rgb="FF1F2328"/>
      <name val="Calibri"/>
    </font>
    <font>
      <sz val="9"/>
      <color rgb="FF5B6470"/>
      <name val="Calibri"/>
    </font>
    <font>
      <i/>
      <sz val="9"/>
      <color rgb="FF5B647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6303B"/>
      </patternFill>
    </fill>
    <fill>
      <patternFill patternType="solid">
        <fgColor rgb="FFEEF1F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0D4D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4" fontId="5" fillId="0" borderId="1" xfId="0" applyNumberFormat="1" applyFont="1" applyBorder="1"/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right"/>
    </xf>
    <xf numFmtId="165" fontId="0" fillId="0" borderId="0" xfId="0" applyNumberFormat="1"/>
    <xf numFmtId="4" fontId="0" fillId="0" borderId="0" xfId="0" applyNumberFormat="1"/>
    <xf numFmtId="4" fontId="8" fillId="0" borderId="0" xfId="0" applyNumberFormat="1" applyFont="1"/>
    <xf numFmtId="0" fontId="8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zoomScale="85" zoomScaleNormal="85" workbookViewId="0">
      <pane ySplit="6" topLeftCell="A7" activePane="bottomLeft" state="frozen"/>
      <selection pane="bottomLeft" activeCell="E12" sqref="E12"/>
    </sheetView>
  </sheetViews>
  <sheetFormatPr defaultRowHeight="15" x14ac:dyDescent="0.25"/>
  <cols>
    <col min="1" max="1" width="8" customWidth="1"/>
    <col min="2" max="2" width="44" customWidth="1"/>
    <col min="3" max="3" width="29" style="25" customWidth="1"/>
    <col min="4" max="4" width="8.85546875" customWidth="1"/>
    <col min="5" max="5" width="18.42578125" customWidth="1"/>
    <col min="6" max="6" width="13" customWidth="1"/>
    <col min="8" max="8" width="16.5703125" customWidth="1"/>
    <col min="9" max="9" width="40" customWidth="1"/>
    <col min="10" max="10" width="3" hidden="1" customWidth="1"/>
  </cols>
  <sheetData>
    <row r="1" spans="1:10" ht="19.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0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6" spans="1:10" s="1" customFormat="1" ht="20.100000000000001" customHeight="1" x14ac:dyDescent="0.25">
      <c r="A6" s="1" t="s">
        <v>2</v>
      </c>
      <c r="B6" s="1" t="s">
        <v>3</v>
      </c>
      <c r="C6" s="20" t="s">
        <v>4</v>
      </c>
      <c r="D6" s="2" t="s">
        <v>5</v>
      </c>
      <c r="E6" s="1" t="s">
        <v>6</v>
      </c>
      <c r="F6" s="2" t="s">
        <v>7</v>
      </c>
      <c r="G6" s="1" t="s">
        <v>8</v>
      </c>
      <c r="I6" s="1" t="s">
        <v>9</v>
      </c>
    </row>
    <row r="7" spans="1:10" s="3" customFormat="1" ht="30" x14ac:dyDescent="0.25">
      <c r="A7" s="4" t="s">
        <v>10</v>
      </c>
      <c r="B7" s="4" t="s">
        <v>11</v>
      </c>
      <c r="C7" s="21" t="s">
        <v>12</v>
      </c>
      <c r="D7" s="4"/>
      <c r="E7" s="4"/>
      <c r="F7" s="4"/>
      <c r="G7" s="4"/>
      <c r="H7" s="4"/>
      <c r="I7" s="4" t="s">
        <v>13</v>
      </c>
      <c r="J7" s="3">
        <v>1</v>
      </c>
    </row>
    <row r="8" spans="1:10" s="5" customFormat="1" ht="30" x14ac:dyDescent="0.25">
      <c r="A8" s="6" t="s">
        <v>14</v>
      </c>
      <c r="B8" s="6" t="s">
        <v>15</v>
      </c>
      <c r="C8" s="22" t="s">
        <v>12</v>
      </c>
      <c r="D8" s="7">
        <v>1</v>
      </c>
      <c r="E8" s="6" t="s">
        <v>64</v>
      </c>
      <c r="F8" s="8">
        <v>2.0474940489468971</v>
      </c>
      <c r="G8" s="6" t="s">
        <v>16</v>
      </c>
      <c r="H8" s="6"/>
      <c r="I8" s="6" t="s">
        <v>13</v>
      </c>
    </row>
    <row r="9" spans="1:10" s="5" customFormat="1" ht="30" x14ac:dyDescent="0.25">
      <c r="A9" s="6" t="s">
        <v>17</v>
      </c>
      <c r="B9" s="6" t="s">
        <v>18</v>
      </c>
      <c r="C9" s="22" t="s">
        <v>12</v>
      </c>
      <c r="D9" s="7">
        <v>1</v>
      </c>
      <c r="E9" s="6" t="s">
        <v>67</v>
      </c>
      <c r="F9" s="8">
        <v>4.0849000000000002</v>
      </c>
      <c r="G9" s="6" t="s">
        <v>16</v>
      </c>
      <c r="H9" s="6"/>
      <c r="I9" s="6" t="s">
        <v>19</v>
      </c>
    </row>
    <row r="10" spans="1:10" s="3" customFormat="1" ht="30" x14ac:dyDescent="0.25">
      <c r="A10" s="4" t="s">
        <v>20</v>
      </c>
      <c r="B10" s="4" t="s">
        <v>21</v>
      </c>
      <c r="C10" s="21" t="s">
        <v>12</v>
      </c>
      <c r="D10" s="4"/>
      <c r="E10" s="4"/>
      <c r="F10" s="4"/>
      <c r="G10" s="4"/>
      <c r="H10" s="4"/>
      <c r="I10" s="4" t="s">
        <v>13</v>
      </c>
      <c r="J10" s="3">
        <v>1</v>
      </c>
    </row>
    <row r="11" spans="1:10" s="5" customFormat="1" ht="30" x14ac:dyDescent="0.25">
      <c r="A11" s="6" t="s">
        <v>22</v>
      </c>
      <c r="B11" s="6" t="s">
        <v>23</v>
      </c>
      <c r="C11" s="22" t="s">
        <v>12</v>
      </c>
      <c r="D11" s="7">
        <v>1</v>
      </c>
      <c r="E11" s="6" t="s">
        <v>68</v>
      </c>
      <c r="F11" s="8">
        <v>2.0533387418320483</v>
      </c>
      <c r="G11" s="6" t="s">
        <v>16</v>
      </c>
      <c r="H11" s="6"/>
      <c r="I11" s="6" t="s">
        <v>13</v>
      </c>
    </row>
    <row r="12" spans="1:10" s="5" customFormat="1" ht="30" x14ac:dyDescent="0.25">
      <c r="A12" s="6" t="s">
        <v>24</v>
      </c>
      <c r="B12" s="6" t="s">
        <v>25</v>
      </c>
      <c r="C12" s="22" t="s">
        <v>12</v>
      </c>
      <c r="D12" s="7">
        <v>1</v>
      </c>
      <c r="E12" s="6" t="s">
        <v>67</v>
      </c>
      <c r="F12" s="8">
        <v>2.0523931854986142</v>
      </c>
      <c r="G12" s="6" t="s">
        <v>16</v>
      </c>
      <c r="H12" s="6"/>
      <c r="I12" s="6" t="s">
        <v>13</v>
      </c>
    </row>
    <row r="13" spans="1:10" s="5" customFormat="1" ht="30" x14ac:dyDescent="0.25">
      <c r="A13" s="6" t="s">
        <v>26</v>
      </c>
      <c r="B13" s="6" t="s">
        <v>27</v>
      </c>
      <c r="C13" s="22" t="s">
        <v>12</v>
      </c>
      <c r="D13" s="7">
        <v>1</v>
      </c>
      <c r="E13" s="6" t="s">
        <v>68</v>
      </c>
      <c r="F13" s="8">
        <v>0.31648306005897581</v>
      </c>
      <c r="G13" s="6" t="s">
        <v>16</v>
      </c>
      <c r="H13" s="6"/>
      <c r="I13" s="6" t="s">
        <v>13</v>
      </c>
    </row>
    <row r="14" spans="1:10" s="5" customFormat="1" ht="30" x14ac:dyDescent="0.25">
      <c r="A14" s="6" t="s">
        <v>28</v>
      </c>
      <c r="B14" s="6" t="s">
        <v>29</v>
      </c>
      <c r="C14" s="22" t="s">
        <v>12</v>
      </c>
      <c r="D14" s="7">
        <v>1</v>
      </c>
      <c r="E14" s="6" t="s">
        <v>67</v>
      </c>
      <c r="F14" s="8">
        <v>0.33412733749721801</v>
      </c>
      <c r="G14" s="6" t="s">
        <v>16</v>
      </c>
      <c r="H14" s="6"/>
      <c r="I14" s="6" t="s">
        <v>13</v>
      </c>
    </row>
    <row r="15" spans="1:10" s="3" customFormat="1" ht="30" x14ac:dyDescent="0.25">
      <c r="A15" s="4" t="s">
        <v>30</v>
      </c>
      <c r="B15" s="4" t="s">
        <v>21</v>
      </c>
      <c r="C15" s="21" t="s">
        <v>31</v>
      </c>
      <c r="D15" s="4"/>
      <c r="E15" s="4"/>
      <c r="F15" s="4"/>
      <c r="G15" s="4"/>
      <c r="H15" s="4"/>
      <c r="I15" s="4" t="s">
        <v>13</v>
      </c>
      <c r="J15" s="3">
        <v>1</v>
      </c>
    </row>
    <row r="16" spans="1:10" s="3" customFormat="1" ht="30" x14ac:dyDescent="0.25">
      <c r="A16" s="4" t="s">
        <v>32</v>
      </c>
      <c r="B16" s="4" t="s">
        <v>33</v>
      </c>
      <c r="C16" s="21" t="s">
        <v>31</v>
      </c>
      <c r="D16" s="4"/>
      <c r="E16" s="4"/>
      <c r="F16" s="4"/>
      <c r="G16" s="4"/>
      <c r="H16" s="4"/>
      <c r="I16" s="4" t="s">
        <v>13</v>
      </c>
      <c r="J16" s="3">
        <v>1</v>
      </c>
    </row>
    <row r="17" spans="1:10" s="5" customFormat="1" ht="30" x14ac:dyDescent="0.25">
      <c r="A17" s="6" t="s">
        <v>34</v>
      </c>
      <c r="B17" s="6" t="s">
        <v>35</v>
      </c>
      <c r="C17" s="22" t="s">
        <v>31</v>
      </c>
      <c r="D17" s="7">
        <v>1</v>
      </c>
      <c r="E17" s="6" t="s">
        <v>65</v>
      </c>
      <c r="F17" s="8">
        <v>8.3957392201389168E-3</v>
      </c>
      <c r="G17" s="6" t="s">
        <v>16</v>
      </c>
      <c r="H17" s="6"/>
      <c r="I17" s="6" t="s">
        <v>13</v>
      </c>
    </row>
    <row r="18" spans="1:10" s="3" customFormat="1" ht="30" x14ac:dyDescent="0.25">
      <c r="A18" s="4" t="s">
        <v>36</v>
      </c>
      <c r="B18" s="4" t="s">
        <v>33</v>
      </c>
      <c r="C18" s="21" t="s">
        <v>12</v>
      </c>
      <c r="D18" s="4"/>
      <c r="E18" s="4"/>
      <c r="F18" s="4"/>
      <c r="G18" s="4"/>
      <c r="H18" s="4"/>
      <c r="I18" s="4" t="s">
        <v>13</v>
      </c>
      <c r="J18" s="3">
        <v>1</v>
      </c>
    </row>
    <row r="19" spans="1:10" s="5" customFormat="1" ht="30" x14ac:dyDescent="0.25">
      <c r="A19" s="6" t="s">
        <v>37</v>
      </c>
      <c r="B19" s="6" t="s">
        <v>38</v>
      </c>
      <c r="C19" s="22" t="s">
        <v>12</v>
      </c>
      <c r="D19" s="7">
        <v>1</v>
      </c>
      <c r="E19" s="6" t="s">
        <v>65</v>
      </c>
      <c r="F19" s="8">
        <v>5.3323999999999998</v>
      </c>
      <c r="G19" s="6" t="s">
        <v>39</v>
      </c>
      <c r="H19" s="6"/>
      <c r="I19" s="6" t="s">
        <v>13</v>
      </c>
    </row>
    <row r="20" spans="1:10" s="5" customFormat="1" ht="30" x14ac:dyDescent="0.25">
      <c r="A20" s="6" t="s">
        <v>40</v>
      </c>
      <c r="B20" s="6" t="s">
        <v>41</v>
      </c>
      <c r="C20" s="22" t="s">
        <v>12</v>
      </c>
      <c r="D20" s="7">
        <v>1</v>
      </c>
      <c r="E20" s="6" t="s">
        <v>67</v>
      </c>
      <c r="F20" s="8">
        <v>2.1991999999999998</v>
      </c>
      <c r="G20" s="6" t="s">
        <v>39</v>
      </c>
      <c r="H20" s="6"/>
      <c r="I20" s="6" t="s">
        <v>13</v>
      </c>
    </row>
    <row r="21" spans="1:10" s="5" customFormat="1" ht="30" x14ac:dyDescent="0.25">
      <c r="A21" s="6" t="s">
        <v>42</v>
      </c>
      <c r="B21" s="6" t="s">
        <v>43</v>
      </c>
      <c r="C21" s="22" t="s">
        <v>12</v>
      </c>
      <c r="D21" s="7">
        <v>1</v>
      </c>
      <c r="E21" s="6" t="s">
        <v>67</v>
      </c>
      <c r="F21" s="8">
        <v>0.2666</v>
      </c>
      <c r="G21" s="6" t="s">
        <v>39</v>
      </c>
      <c r="H21" s="6"/>
      <c r="I21" s="6" t="s">
        <v>13</v>
      </c>
    </row>
    <row r="23" spans="1:10" s="3" customFormat="1" x14ac:dyDescent="0.25">
      <c r="C23" s="23"/>
    </row>
    <row r="24" spans="1:10" s="5" customFormat="1" x14ac:dyDescent="0.25">
      <c r="C24" s="24"/>
    </row>
    <row r="25" spans="1:10" s="3" customFormat="1" x14ac:dyDescent="0.25">
      <c r="C25" s="23"/>
    </row>
    <row r="27" spans="1:10" x14ac:dyDescent="0.25">
      <c r="A27" s="18" t="s">
        <v>44</v>
      </c>
      <c r="B27" s="18"/>
      <c r="C27" s="18"/>
      <c r="D27" s="18"/>
      <c r="E27" s="18"/>
      <c r="F27" s="18"/>
      <c r="G27" s="18"/>
      <c r="H27" s="18"/>
      <c r="I27" s="18"/>
    </row>
  </sheetData>
  <mergeCells count="3">
    <mergeCell ref="A1:I1"/>
    <mergeCell ref="A2:I2"/>
    <mergeCell ref="A27:I27"/>
  </mergeCells>
  <pageMargins left="0.7" right="0.7" top="0.75" bottom="0.75" header="0.3" footer="0.3"/>
  <pageSetup paperSize="9"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tabSelected="1" workbookViewId="0">
      <pane ySplit="4" topLeftCell="A5" activePane="bottomLeft" state="frozen"/>
      <selection pane="bottomLeft" activeCell="F20" sqref="F20"/>
    </sheetView>
  </sheetViews>
  <sheetFormatPr defaultRowHeight="15" x14ac:dyDescent="0.25"/>
  <cols>
    <col min="1" max="1" width="12" customWidth="1"/>
    <col min="2" max="2" width="40" customWidth="1"/>
    <col min="3" max="3" width="13" customWidth="1"/>
    <col min="4" max="4" width="7" customWidth="1"/>
    <col min="6" max="6" width="13" customWidth="1"/>
    <col min="8" max="8" width="26" customWidth="1"/>
  </cols>
  <sheetData>
    <row r="1" spans="1:8" ht="19.5" hidden="1" x14ac:dyDescent="0.3">
      <c r="A1" s="16" t="s">
        <v>46</v>
      </c>
      <c r="B1" s="16"/>
      <c r="C1" s="16"/>
      <c r="D1" s="16"/>
      <c r="E1" s="16"/>
      <c r="F1" s="16"/>
      <c r="G1" s="16"/>
      <c r="H1" s="16"/>
    </row>
    <row r="2" spans="1:8" hidden="1" x14ac:dyDescent="0.25">
      <c r="A2" s="19" t="s">
        <v>47</v>
      </c>
      <c r="B2" s="19"/>
      <c r="C2" s="19"/>
      <c r="D2" s="19"/>
      <c r="E2" s="19"/>
      <c r="F2" s="19"/>
      <c r="G2" s="19"/>
      <c r="H2" s="19"/>
    </row>
    <row r="4" spans="1:8" s="10" customFormat="1" x14ac:dyDescent="0.25">
      <c r="A4" s="9" t="s">
        <v>48</v>
      </c>
      <c r="B4" s="9" t="s">
        <v>49</v>
      </c>
      <c r="C4" s="11" t="s">
        <v>50</v>
      </c>
      <c r="D4" s="9" t="s">
        <v>8</v>
      </c>
      <c r="E4" s="11" t="s">
        <v>51</v>
      </c>
      <c r="F4" s="11" t="s">
        <v>52</v>
      </c>
      <c r="G4" s="9" t="s">
        <v>53</v>
      </c>
      <c r="H4" s="9" t="s">
        <v>54</v>
      </c>
    </row>
    <row r="5" spans="1:8" x14ac:dyDescent="0.25">
      <c r="A5" t="s">
        <v>55</v>
      </c>
      <c r="B5" t="s">
        <v>56</v>
      </c>
      <c r="C5" s="13">
        <v>2.0499999999999998</v>
      </c>
      <c r="D5" t="s">
        <v>57</v>
      </c>
      <c r="E5" s="12">
        <v>0</v>
      </c>
      <c r="F5" s="14">
        <v>2.0499999999999998</v>
      </c>
      <c r="G5" t="s">
        <v>57</v>
      </c>
      <c r="H5" t="s">
        <v>13</v>
      </c>
    </row>
    <row r="6" spans="1:8" x14ac:dyDescent="0.25">
      <c r="A6" t="s">
        <v>58</v>
      </c>
      <c r="B6" t="s">
        <v>59</v>
      </c>
      <c r="C6" s="13">
        <v>2.0499999999999998</v>
      </c>
      <c r="D6" t="s">
        <v>45</v>
      </c>
      <c r="E6" s="12">
        <v>0</v>
      </c>
      <c r="F6" s="14">
        <v>2.0499999999999998</v>
      </c>
      <c r="G6" t="s">
        <v>45</v>
      </c>
      <c r="H6" t="s">
        <v>13</v>
      </c>
    </row>
    <row r="7" spans="1:8" x14ac:dyDescent="0.25">
      <c r="A7" t="s">
        <v>55</v>
      </c>
      <c r="B7" t="s">
        <v>60</v>
      </c>
      <c r="C7" s="13">
        <v>5.33E-2</v>
      </c>
      <c r="D7" t="s">
        <v>66</v>
      </c>
      <c r="E7" s="12">
        <v>0</v>
      </c>
      <c r="F7" s="14">
        <v>0.01</v>
      </c>
      <c r="G7" t="s">
        <v>45</v>
      </c>
      <c r="H7" t="s">
        <v>13</v>
      </c>
    </row>
    <row r="8" spans="1:8" x14ac:dyDescent="0.25">
      <c r="A8" t="s">
        <v>55</v>
      </c>
      <c r="B8" t="s">
        <v>61</v>
      </c>
      <c r="C8" s="13">
        <v>0.32</v>
      </c>
      <c r="D8" t="s">
        <v>45</v>
      </c>
      <c r="E8" s="12">
        <v>0</v>
      </c>
      <c r="F8" s="14">
        <v>0.32</v>
      </c>
      <c r="G8" t="s">
        <v>45</v>
      </c>
      <c r="H8" t="s">
        <v>13</v>
      </c>
    </row>
    <row r="9" spans="1:8" x14ac:dyDescent="0.25">
      <c r="A9" t="s">
        <v>55</v>
      </c>
      <c r="B9" t="s">
        <v>62</v>
      </c>
      <c r="C9" s="13">
        <f>2.042*2+2.052+0.334+2.199*0.267</f>
        <v>7.0571329999999985</v>
      </c>
      <c r="D9" t="s">
        <v>57</v>
      </c>
      <c r="E9" s="12">
        <v>0</v>
      </c>
      <c r="F9" s="14">
        <v>8.94</v>
      </c>
      <c r="G9" t="s">
        <v>57</v>
      </c>
      <c r="H9" t="s">
        <v>13</v>
      </c>
    </row>
    <row r="10" spans="1:8" s="15" customFormat="1" x14ac:dyDescent="0.25">
      <c r="B10" s="15" t="s">
        <v>63</v>
      </c>
    </row>
    <row r="13" spans="1:8" x14ac:dyDescent="0.25">
      <c r="H13">
        <f>2.199*0.267</f>
        <v>0.58713300000000002</v>
      </c>
    </row>
  </sheetData>
  <mergeCells count="2">
    <mergeCell ref="A1:H1"/>
    <mergeCell ref="A2:H2"/>
  </mergeCells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Takeoff</vt:lpstr>
      <vt:lpstr>Materials to order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2026-10-14T05:05:36Z</dcterms:created>
  <dcterms:modified xsi:type="dcterms:W3CDTF">2026-10-14T05:40:44Z</dcterms:modified>
  <cp:category/>
</cp:coreProperties>
</file>