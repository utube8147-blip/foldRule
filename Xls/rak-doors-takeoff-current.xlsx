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keoff" state="visible" r:id="rId4"/>
    <sheet sheetId="2" name="Bill of Quantities" state="visible" r:id="rId5"/>
    <sheet sheetId="3" name="Estimate summary" state="visible" r:id="rId6"/>
    <sheet sheetId="4" name="Materials to order" state="visible" r:id="rId7"/>
    <sheet sheetId="5" name="Change log" state="visible" r:id="rId8"/>
    <sheet sheetId="6" name="Summary" state="visible" r:id="rId9"/>
    <sheet sheetId="7" name="BOQ_Matrix" state="visible" r:id="rId10"/>
    <sheet sheetId="8" name="Materials_List" state="visible" r:id="rId11"/>
    <sheet sheetId="9" name="Cost_Breakdown" state="visible" r:id="rId12"/>
  </sheets>
  <calcPr calcId="171027"/>
</workbook>
</file>

<file path=xl/sharedStrings.xml><?xml version="1.0" encoding="utf-8"?>
<sst xmlns="http://schemas.openxmlformats.org/spreadsheetml/2006/main" count="1205" uniqueCount="275">
  <si>
    <t>D01</t>
  </si>
  <si>
    <t>2026-10-13</t>
  </si>
  <si>
    <t>Item</t>
  </si>
  <si>
    <t>Description</t>
  </si>
  <si>
    <t>Drawing</t>
  </si>
  <si>
    <t>Page</t>
  </si>
  <si>
    <t>Type</t>
  </si>
  <si>
    <t>Quantity</t>
  </si>
  <si>
    <t>Unit</t>
  </si>
  <si>
    <t>Rate</t>
  </si>
  <si>
    <t>Amount</t>
  </si>
  <si>
    <t>Notes</t>
  </si>
  <si>
    <t>1</t>
  </si>
  <si>
    <t>Door Leaf</t>
  </si>
  <si>
    <t>ARAK-P1R1-INB-SD-ID-RES-ZZZ-3320277-02.pdf</t>
  </si>
  <si>
    <t/>
  </si>
  <si>
    <t>1.1</t>
  </si>
  <si>
    <t xml:space="preserve">    Door Leaf </t>
  </si>
  <si>
    <t>Polygon</t>
  </si>
  <si>
    <t>sq m</t>
  </si>
  <si>
    <t>1.2</t>
  </si>
  <si>
    <t xml:space="preserve">    Door Leaf</t>
  </si>
  <si>
    <t>2.0424 sq m × 2</t>
  </si>
  <si>
    <t>2</t>
  </si>
  <si>
    <t>DOOR Architrave</t>
  </si>
  <si>
    <t>2.1</t>
  </si>
  <si>
    <t xml:space="preserve">    DOOR Architrave </t>
  </si>
  <si>
    <t>2.2</t>
  </si>
  <si>
    <t xml:space="preserve">    DOOR Architrave 2</t>
  </si>
  <si>
    <t>2.3</t>
  </si>
  <si>
    <t xml:space="preserve">    DOOR Architrave 3</t>
  </si>
  <si>
    <t>2.4</t>
  </si>
  <si>
    <t xml:space="preserve">    DOOR Architrave 4</t>
  </si>
  <si>
    <t>3</t>
  </si>
  <si>
    <t>ARAK-P1R1-INB-SD-ID-RES-ZZZ-3320361-01.pdf</t>
  </si>
  <si>
    <t>4</t>
  </si>
  <si>
    <t>Door Frame</t>
  </si>
  <si>
    <t>4.1</t>
  </si>
  <si>
    <t xml:space="preserve">    Door Frame </t>
  </si>
  <si>
    <t>5</t>
  </si>
  <si>
    <t>5.1</t>
  </si>
  <si>
    <t xml:space="preserve">    Door Frame 1</t>
  </si>
  <si>
    <t>Length</t>
  </si>
  <si>
    <t>m</t>
  </si>
  <si>
    <t>5.2</t>
  </si>
  <si>
    <t xml:space="preserve">    Door Frame 2</t>
  </si>
  <si>
    <t>5.3</t>
  </si>
  <si>
    <t xml:space="preserve">    Door Frame 3</t>
  </si>
  <si>
    <t>Subtotal</t>
  </si>
  <si>
    <t>VAT 5%</t>
  </si>
  <si>
    <t>Total</t>
  </si>
  <si>
    <t>Prepared with Foldrule · 2026-10-14</t>
  </si>
  <si>
    <t>RAK Doors — Bill of Quantities</t>
  </si>
  <si>
    <t>Sections follow the Principles of Measurement (International). Quantities are given to the nearest whole unit (tonnes to two decimal places); measured figures are on the Takeoff sheet.</t>
  </si>
  <si>
    <t>F</t>
  </si>
  <si>
    <t>WOODWORK</t>
  </si>
  <si>
    <t>A</t>
  </si>
  <si>
    <t>m²</t>
  </si>
  <si>
    <t>B</t>
  </si>
  <si>
    <t>C</t>
  </si>
  <si>
    <t>To summary</t>
  </si>
  <si>
    <t>H</t>
  </si>
  <si>
    <t>DOORS AND WINDOWS</t>
  </si>
  <si>
    <t>SUMMARY</t>
  </si>
  <si>
    <t>F  Woodwork</t>
  </si>
  <si>
    <t>H  Doors and windows</t>
  </si>
  <si>
    <t>RAK Doors — Estimate summary</t>
  </si>
  <si>
    <t>From the measured work to the tender sum, in AED. Amounts as at export; the bill sheets hold the detail.</t>
  </si>
  <si>
    <t>%</t>
  </si>
  <si>
    <t>Note</t>
  </si>
  <si>
    <t>Measured work</t>
  </si>
  <si>
    <t>Quantity × rate, from the takeoff</t>
  </si>
  <si>
    <t>Preliminaries</t>
  </si>
  <si>
    <t>Site setup, supervision, temporary works, insurances</t>
  </si>
  <si>
    <t>Provisional sums</t>
  </si>
  <si>
    <t>Allowances for work not yet designed</t>
  </si>
  <si>
    <t>Works cost</t>
  </si>
  <si>
    <t>Contingency</t>
  </si>
  <si>
    <t>Risk allowance, on the works cost</t>
  </si>
  <si>
    <t>Overheads</t>
  </si>
  <si>
    <t>Head-office cost</t>
  </si>
  <si>
    <t>Profit</t>
  </si>
  <si>
    <t>Tender sum (before VAT)</t>
  </si>
  <si>
    <t>VAT</t>
  </si>
  <si>
    <t>RAK Doors — Materials to order</t>
  </si>
  <si>
    <t>Net quantity from the bill, plus waste, converted to the unit each material is bought in. Whole packs are rounded up. Material cost only: no labour or equipment.</t>
  </si>
  <si>
    <t>Code</t>
  </si>
  <si>
    <t>Material</t>
  </si>
  <si>
    <t>Net quantity</t>
  </si>
  <si>
    <t>Waste</t>
  </si>
  <si>
    <t>Order</t>
  </si>
  <si>
    <t>Buy by</t>
  </si>
  <si>
    <t>One covers</t>
  </si>
  <si>
    <t>Price each</t>
  </si>
  <si>
    <t>Cost</t>
  </si>
  <si>
    <t>Supplier</t>
  </si>
  <si>
    <t>06 00 00</t>
  </si>
  <si>
    <t xml:space="preserve">12mmThk
plain
MDF</t>
  </si>
  <si>
    <t>m2</t>
  </si>
  <si>
    <t>06 00 01</t>
  </si>
  <si>
    <t xml:space="preserve">FR60mins
Doorcore</t>
  </si>
  <si>
    <t xml:space="preserve">Solid
Wood</t>
  </si>
  <si>
    <t>Timber</t>
  </si>
  <si>
    <t xml:space="preserve">Wrapping
Veneer
WD002
</t>
  </si>
  <si>
    <t>Materials to buy</t>
  </si>
  <si>
    <t>RAK Doors — Change log</t>
  </si>
  <si>
    <t>Every change to a quantity, rate, material, price or estimate setting, newest first.</t>
  </si>
  <si>
    <t>When</t>
  </si>
  <si>
    <t>Who</t>
  </si>
  <si>
    <t>What</t>
  </si>
  <si>
    <t>From</t>
  </si>
  <si>
    <t>To</t>
  </si>
  <si>
    <t>munsif</t>
  </si>
  <si>
    <t>material</t>
  </si>
  <si>
    <t>Door Frame 3</t>
  </si>
  <si>
    <t>added</t>
  </si>
  <si>
    <t>group</t>
  </si>
  <si>
    <t>0.267 m</t>
  </si>
  <si>
    <t>Door Frame 2</t>
  </si>
  <si>
    <t>2.199 m</t>
  </si>
  <si>
    <t>removed</t>
  </si>
  <si>
    <t>0.505 sq m</t>
  </si>
  <si>
    <t>quantity</t>
  </si>
  <si>
    <t>0.471 sq m</t>
  </si>
  <si>
    <t>name</t>
  </si>
  <si>
    <t>New Area</t>
  </si>
  <si>
    <t>none</t>
  </si>
  <si>
    <t>Door Frame 1</t>
  </si>
  <si>
    <t>5.332 m</t>
  </si>
  <si>
    <t>Door Frame copy 1</t>
  </si>
  <si>
    <t>0.008 sq m</t>
  </si>
  <si>
    <t>Door Frame copy</t>
  </si>
  <si>
    <t xml:space="preserve">Door Frame </t>
  </si>
  <si>
    <t>0.482 m</t>
  </si>
  <si>
    <t>DOOR Architrave 1</t>
  </si>
  <si>
    <t>DOOR Architrave 4</t>
  </si>
  <si>
    <t>0.334 sq m</t>
  </si>
  <si>
    <t>DOOR Architrave 3</t>
  </si>
  <si>
    <t>0.316 sq m</t>
  </si>
  <si>
    <t>2.047 sq m</t>
  </si>
  <si>
    <t>2.042 sq m</t>
  </si>
  <si>
    <t>DOOR Architrave 2</t>
  </si>
  <si>
    <t>2.052 sq m</t>
  </si>
  <si>
    <t xml:space="preserve">DOOR Architrave </t>
  </si>
  <si>
    <t>2.053 sq m</t>
  </si>
  <si>
    <t>DOOR Architrave copy</t>
  </si>
  <si>
    <t>DOOR Architrave copy 1</t>
  </si>
  <si>
    <t>2.005 sq m</t>
  </si>
  <si>
    <t xml:space="preserve">Door Leaf </t>
  </si>
  <si>
    <t>Door Architrave</t>
  </si>
  <si>
    <t>0 m2</t>
  </si>
  <si>
    <t>Manual Item</t>
  </si>
  <si>
    <t>0 m</t>
  </si>
  <si>
    <t>multiplier</t>
  </si>
  <si>
    <t>× 1</t>
  </si>
  <si>
    <t>× 2</t>
  </si>
  <si>
    <t>2.035 sq m</t>
  </si>
  <si>
    <t>1.99 sq m</t>
  </si>
  <si>
    <t>Door Leaf 2</t>
  </si>
  <si>
    <t>Door Leaf 1</t>
  </si>
  <si>
    <t>Door Leaf copy</t>
  </si>
  <si>
    <t xml:space="preserve">Architrave (INT) </t>
  </si>
  <si>
    <t>0.41 sq m</t>
  </si>
  <si>
    <t>Architrave (INT) copy</t>
  </si>
  <si>
    <t>Architrave (INT) 1</t>
  </si>
  <si>
    <t>Architrave (INT)</t>
  </si>
  <si>
    <t>MDF</t>
  </si>
  <si>
    <t>2.067 sq m</t>
  </si>
  <si>
    <t>Architrave (EXT)</t>
  </si>
  <si>
    <t>Frame Length</t>
  </si>
  <si>
    <t>5.261 m</t>
  </si>
  <si>
    <t>Solid Wood (frame)</t>
  </si>
  <si>
    <t>Frame Cross section</t>
  </si>
  <si>
    <t>0.01 sq m</t>
  </si>
  <si>
    <t>Solid Wood (Frame)</t>
  </si>
  <si>
    <t>Door Core D01</t>
  </si>
  <si>
    <t>2.031 sq m</t>
  </si>
  <si>
    <t>Door Core</t>
  </si>
  <si>
    <t>Veneer(Architrave</t>
  </si>
  <si>
    <t>Veneer (Door)</t>
  </si>
  <si>
    <t>Veneer</t>
  </si>
  <si>
    <t>Architrave (INT) copy 1</t>
  </si>
  <si>
    <t>Veneer copy 2</t>
  </si>
  <si>
    <t>Veneer copy</t>
  </si>
  <si>
    <t>Veneer copy 1</t>
  </si>
  <si>
    <t>Solid Wood</t>
  </si>
  <si>
    <t>Solid Wood 1</t>
  </si>
  <si>
    <t>Door Core 1</t>
  </si>
  <si>
    <t>Veneer 2</t>
  </si>
  <si>
    <t>Veneer 1</t>
  </si>
  <si>
    <t>money</t>
  </si>
  <si>
    <t>not set</t>
  </si>
  <si>
    <t>5%</t>
  </si>
  <si>
    <t>Currency</t>
  </si>
  <si>
    <t>AED</t>
  </si>
  <si>
    <t>BILL OF QUANTITIES  ·  KITCHEN FITOUT  ·  TYPE N/A</t>
  </si>
  <si>
    <t xml:space="preserve">RAK Doors   ·      ·   </t>
  </si>
  <si>
    <t>PROJECT INFORMATION</t>
  </si>
  <si>
    <t>Main Contractor</t>
  </si>
  <si>
    <t>N/A</t>
  </si>
  <si>
    <t>Design Consultant</t>
  </si>
  <si>
    <t>Supervision</t>
  </si>
  <si>
    <t>Kitchen Type</t>
  </si>
  <si>
    <t>Total Units</t>
  </si>
  <si>
    <t>Date</t>
  </si>
  <si>
    <t>Revision</t>
  </si>
  <si>
    <t>Currency / VAT</t>
  </si>
  <si>
    <t>AED  (VAT 5%)</t>
  </si>
  <si>
    <t>DRAWING REFERENCES</t>
  </si>
  <si>
    <t>Ref 01</t>
  </si>
  <si>
    <t>—</t>
  </si>
  <si>
    <t>SECTION SUMMARY</t>
  </si>
  <si>
    <t>Section</t>
  </si>
  <si>
    <t>Reference</t>
  </si>
  <si>
    <t>Items</t>
  </si>
  <si>
    <t>All quantities subject to field verification. Unit rates to be inserted by tendering contractor.</t>
  </si>
  <si>
    <t xml:space="preserve">D01   (TYPE N/A)   ·   RAK Doors   ·      ·   </t>
  </si>
  <si>
    <t xml:space="preserve">  A  </t>
  </si>
  <si>
    <t>SECTION</t>
  </si>
  <si>
    <t>S.No</t>
  </si>
  <si>
    <t>Times</t>
  </si>
  <si>
    <t>L</t>
  </si>
  <si>
    <t>W</t>
  </si>
  <si>
    <t>Total QTY</t>
  </si>
  <si>
    <t>Remarks</t>
  </si>
  <si>
    <t>A1</t>
  </si>
  <si>
    <t>A2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</si>
  <si>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</si>
  <si>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</si>
  <si>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</si>
  <si>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</si>
  <si>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</si>
  <si>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</si>
  <si>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</si>
  <si>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</si>
  <si>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</si>
  <si>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E1</t>
  </si>
  <si>
    <t>E2</t>
  </si>
  <si>
    <t>E3</t>
  </si>
  <si>
    <t>Per Unit</t>
  </si>
  <si>
    <t>Total Unit</t>
  </si>
  <si>
    <t>PROJECT TOTALS  —  All Sections</t>
  </si>
  <si>
    <t>MATERIALS LIST  ·  PROJECT TOTAL QUANTITIES</t>
  </si>
  <si>
    <t>RAK Doors   ·      ·   TYPE N/A   ·   0 Units</t>
  </si>
  <si>
    <t>★  All quantities are live-linked from BOQ_Matrix row 31. Edit dimensions in BOQ_Matrix; this sheet updates automatically.</t>
  </si>
  <si>
    <t>#</t>
  </si>
  <si>
    <t>Material ID</t>
  </si>
  <si>
    <t>Description / Specification</t>
  </si>
  <si>
    <t xml:space="preserve">Total
Quantity</t>
  </si>
  <si>
    <t xml:space="preserve">Sheet Size
(m²)</t>
  </si>
  <si>
    <t xml:space="preserve">Sheets
Needed</t>
  </si>
  <si>
    <t>63982919-372c-48ff-ade1-eef50fd85f27</t>
  </si>
  <si>
    <t>M²</t>
  </si>
  <si>
    <t>Per m² supplied</t>
  </si>
  <si>
    <t>d0256c18-4c77-4842-9e55-7c003d10bc7d</t>
  </si>
  <si>
    <t>25480b7c-4cf5-4d27-a8bd-8367a66eed99</t>
  </si>
  <si>
    <t xml:space="preserve">Wrapping Veneer WD002 </t>
  </si>
  <si>
    <t>Per m2 supplied</t>
  </si>
  <si>
    <t>eed71fda-51a3-443f-ba35-fcf34da764b4</t>
  </si>
  <si>
    <t>FR60mins Doorcore</t>
  </si>
  <si>
    <t>4f50dbef-3b3d-4a36-996e-372a3728716d</t>
  </si>
  <si>
    <t>Per m supplied</t>
  </si>
  <si>
    <t>a723fd95-ccea-465f-9f6a-1fbc1ab60d92</t>
  </si>
  <si>
    <t>12mmThk plain MDF</t>
  </si>
  <si>
    <t>Sheet size basis: 2.88 m² per board  ·  Sheets Needed rounds UP to whole boards  ·  Count/Linear/Volume items show actual quantities.</t>
  </si>
  <si>
    <t>COST BREAKDOWN  ·  MATERIAL QUANTITIES × UNIT RATES</t>
  </si>
  <si>
    <t>RAK Doors   ·      ·   TYPE N/A   ·   1 Units   ·   Currency: AED   ·   VAT: 5%</t>
  </si>
  <si>
    <t>★  Unit rates in column G are pre-filled where cost data exists in the source JSON. Amber cells = contractor to fill. Green cells = rate from data. Amount = Total Qty × Unit Rate.</t>
  </si>
  <si>
    <t>Total Qty</t>
  </si>
  <si>
    <t xml:space="preserve">Unit Rate
(AED / unit)</t>
  </si>
  <si>
    <t xml:space="preserve">Amount
(AED)</t>
  </si>
  <si>
    <t>SUBTOTAL  (excl. VAT)</t>
  </si>
  <si>
    <t>VAT  (5%)</t>
  </si>
  <si>
    <t>GRAND TOTAL  (incl. VAT)</t>
  </si>
  <si>
    <t>Rates to be provided by tendering contractor.  All quantities are indicative and subject to field verification.  Currency: AED  ·  VAT @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</si>
</sst>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AED &quot;#,##0.00"/>
    <numFmt numFmtId="165" formatCode="0.0#%"/>
    <numFmt numFmtId="166" formatCode="yyyy-mm-dd hh:mm"/>
    <numFmt numFmtId="167" formatCode="0.000"/>
  </numFmts>
  <fonts count="41" x14ac:knownFonts="1">
    <font>
      <color theme="1"/>
      <family val="2"/>
      <scheme val="minor"/>
      <sz val="11"/>
      <name val="Calibri"/>
    </font>
    <font>
      <b/>
      <color rgb="FF1F2328"/>
      <sz val="15"/>
    </font>
    <font>
      <color rgb="FF5B6470"/>
      <sz val="10"/>
    </font>
    <font>
      <b/>
      <color rgb="FFFFFFFF"/>
    </font>
    <font>
      <b/>
      <color rgb="FF1F2328"/>
    </font>
    <font>
      <color rgb="FF1F2328"/>
    </font>
    <font>
      <color rgb="FF5B6470"/>
      <sz val="9"/>
    </font>
    <font>
      <i/>
      <color rgb="FF5B6470"/>
      <sz val="9"/>
    </font>
    <font>
      <b/>
    </font>
    <font>
      <b/>
      <color rgb="FFFFFFFF"/>
      <sz val="13"/>
      <name val="Calibri"/>
    </font>
    <font>
      <i/>
      <color rgb="FFC8A84B"/>
      <sz val="10"/>
      <name val="Calibri"/>
    </font>
    <font>
      <b/>
      <color rgb="FFC8A84B"/>
      <sz val="10"/>
      <name val="Calibri"/>
    </font>
    <font>
      <b/>
      <color rgb="FF6C7A8D"/>
      <sz val="9"/>
      <name val="Calibri"/>
    </font>
    <font>
      <b/>
      <color rgb="FF0D1B2A"/>
      <sz val="10"/>
      <name val="Calibri"/>
    </font>
    <font>
      <b/>
      <color rgb="FFFFFFFF"/>
      <sz val="9"/>
      <name val="Calibri"/>
    </font>
    <font>
      <color rgb="FF0D1B2A"/>
      <sz val="10"/>
      <name val="Calibri"/>
    </font>
    <font>
      <color rgb="FF1C1C1C"/>
      <sz val="10"/>
      <name val="Calibri"/>
    </font>
    <font>
      <i/>
      <color rgb="FF6C7A8D"/>
      <sz val="8"/>
      <name val="Calibri"/>
    </font>
    <font>
      <b/>
      <color rgb="FFFFFFFF"/>
      <sz val="14"/>
      <name val="Calibri"/>
    </font>
    <font>
      <b/>
      <color rgb="FF1A3A5C"/>
      <sz val="11"/>
      <name val="Calibri"/>
    </font>
    <font>
      <b/>
      <color rgb="FFC8A84B"/>
      <sz val="11"/>
      <name val="Calibri"/>
    </font>
    <font>
      <b/>
      <color rgb="FFFFFFFF"/>
      <sz val="11"/>
      <name val="Calibri"/>
    </font>
    <font>
      <color rgb="FF2C3E50"/>
      <sz val="11"/>
      <name val="Calibri"/>
    </font>
    <font>
      <color rgb="FF6C7A8D"/>
      <sz val="10"/>
      <name val="Calibri"/>
    </font>
    <font>
      <b/>
      <color rgb="1A5C3A"/>
      <sz val="10"/>
      <name val="Calibri"/>
    </font>
    <font>
      <color rgb="2A6496"/>
      <sz val="10"/>
      <name val="Calibri"/>
    </font>
    <font>
      <i/>
      <color rgb="8A9BAE"/>
      <sz val="9"/>
      <name val="Calibri"/>
    </font>
    <font>
      <b/>
      <color rgb="FF1C1C1C"/>
      <sz val="11"/>
      <name val="Calibri"/>
    </font>
    <font>
      <color rgb="FF1C1C1C"/>
      <sz val="11"/>
      <name val="Calibri"/>
    </font>
    <font>
      <b/>
      <color rgb="FF0000"/>
      <sz val="13"/>
      <name val="Calibri"/>
    </font>
    <font>
      <b/>
      <color rgb="FFFFFFFF"/>
      <sz val="12"/>
      <name val="Calibri"/>
    </font>
    <font>
      <b/>
      <color rgb="FFB8962E"/>
      <sz val="12"/>
      <name val="Calibri"/>
    </font>
    <font>
      <i/>
      <color rgb="FF6C7A8D"/>
      <sz val="9"/>
      <name val="Calibri"/>
    </font>
    <font>
      <color rgb="5A6C7D"/>
      <sz val="10"/>
      <name val="Calibri"/>
    </font>
    <font>
      <b/>
      <color rgb="1A5C3A"/>
      <sz val="11"/>
      <name val="Calibri"/>
    </font>
    <font>
      <color rgb="FF2C3E50"/>
      <sz val="10"/>
      <name val="Calibri"/>
    </font>
    <font>
      <b/>
      <color rgb="FF0D1B2A"/>
      <sz val="11"/>
      <name val="Calibri"/>
    </font>
    <font>
      <b/>
      <color rgb="FF1A5C3A"/>
      <sz val="11"/>
      <name val="Calibri"/>
    </font>
    <font>
      <b/>
      <color rgb="FFB8962E"/>
      <sz val="13"/>
      <name val="Calibri"/>
    </font>
    <font>
      <b/>
      <color rgb="FFC8A84B"/>
      <sz val="12"/>
      <name val="Calibri"/>
    </font>
    <font>
      <b/>
      <color rgb="FFC8A84B"/>
      <sz val="13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26303B"/>
      </patternFill>
    </fill>
    <fill>
      <patternFill patternType="solid">
        <fgColor rgb="FFEEF1F4"/>
      </patternFill>
    </fill>
    <fill>
      <patternFill patternType="solid">
        <fgColor rgb="FFF3F4F6"/>
      </patternFill>
    </fill>
    <fill>
      <patternFill patternType="solid">
        <fgColor rgb="FFB8962E"/>
      </patternFill>
    </fill>
    <fill>
      <patternFill patternType="solid">
        <fgColor rgb="FF0D1B2A"/>
      </patternFill>
    </fill>
    <fill>
      <patternFill patternType="solid">
        <fgColor rgb="FF1A3A5C"/>
      </patternFill>
    </fill>
    <fill>
      <patternFill patternType="solid">
        <fgColor rgb="FF2C3E50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E8F5E9"/>
      </patternFill>
    </fill>
    <fill>
      <patternFill patternType="solid">
        <fgColor rgb="EBF3FA"/>
      </patternFill>
    </fill>
    <fill>
      <patternFill patternType="solid">
        <fgColor rgb="F8F9F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8E7"/>
      </patternFill>
    </fill>
    <fill>
      <patternFill patternType="solid">
        <fgColor rgb="FFD6F0E0"/>
      </patternFill>
    </fill>
  </fills>
  <borders count="33">
    <border>
      <left/>
      <right/>
      <top/>
      <bottom/>
      <diagonal/>
    </border>
    <border>
      <left/>
      <right/>
      <top/>
      <bottom style="hair">
        <color rgb="FFD0D4DA"/>
      </bottom>
      <diagonal/>
    </border>
    <border>
      <left/>
      <right/>
      <top style="thin"/>
      <bottom style="double"/>
      <diagonal/>
    </border>
    <border>
      <left/>
      <right/>
      <top style="thin"/>
      <bottom/>
      <diagonal/>
    </border>
    <border>
      <left/>
      <right/>
      <top style="thin">
        <color rgb="FF5B6470"/>
      </top>
      <bottom/>
      <diagonal/>
    </border>
    <border>
      <left/>
      <right/>
      <top/>
      <bottom style="medium">
        <color rgb="FFB8962E"/>
      </bottom>
      <diagonal/>
    </border>
    <border>
      <left/>
      <right/>
      <top style="medium">
        <color rgb="FFB8962E"/>
      </top>
      <bottom style="thin">
        <color rgb="FFC8A84B"/>
      </bottom>
      <diagonal/>
    </border>
    <border>
      <left/>
      <right/>
      <top/>
      <bottom style="thin">
        <color rgb="FFDDEEFF"/>
      </bottom>
      <diagonal/>
    </border>
    <border>
      <left style="medium">
        <color rgb="FFB8962E"/>
      </left>
      <right/>
      <top/>
      <bottom style="thin">
        <color rgb="FFDDEEFF"/>
      </bottom>
      <diagonal/>
    </border>
    <border>
      <left/>
      <right style="medium">
        <color rgb="FFB8962E"/>
      </right>
      <top/>
      <bottom style="thin">
        <color rgb="FFDDEEFF"/>
      </bottom>
      <diagonal/>
    </border>
    <border>
      <left/>
      <right/>
      <top/>
      <bottom style="thin">
        <color rgb="FFE8E8E8"/>
      </bottom>
      <diagonal/>
    </border>
    <border>
      <left style="medium">
        <color rgb="FFB8962E"/>
      </left>
      <right/>
      <top/>
      <bottom style="thin">
        <color rgb="FFE8E8E8"/>
      </bottom>
      <diagonal/>
    </border>
    <border>
      <left/>
      <right style="medium">
        <color rgb="FFB8962E"/>
      </right>
      <top/>
      <bottom style="thin">
        <color rgb="FFE8E8E8"/>
      </bottom>
      <diagonal/>
    </border>
    <border>
      <left/>
      <right/>
      <top style="medium">
        <color rgb="FFB8962E"/>
      </top>
      <bottom style="medium">
        <color rgb="FFB8962E"/>
      </bottom>
      <diagonal/>
    </border>
    <border>
      <left style="medium">
        <color rgb="FFB8962E"/>
      </left>
      <right style="thin">
        <color rgb="FFC8A84B"/>
      </right>
      <top style="medium">
        <color rgb="FFB8962E"/>
      </top>
      <bottom style="medium">
        <color rgb="FFB8962E"/>
      </bottom>
      <diagonal/>
    </border>
    <border>
      <left style="medium">
        <color rgb="FFC8A84B"/>
      </left>
      <right style="medium">
        <color rgb="FFC8A84B"/>
      </right>
      <top style="medium">
        <color rgb="FFC8A84B"/>
      </top>
      <bottom style="medium">
        <color rgb="FFC8A84B"/>
      </bottom>
      <diagonal/>
    </border>
    <border>
      <left style="medium">
        <color rgb="FFB8962E"/>
      </left>
      <right style="medium">
        <color rgb="FFB8962E"/>
      </right>
      <top style="thin">
        <color rgb="FFB8962E"/>
      </top>
      <bottom style="thin">
        <color rgb="FFB8962E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8ECF1"/>
      </left>
      <right style="thin">
        <color rgb="E8ECF1"/>
      </right>
      <top style="thin">
        <color rgb="E8ECF1"/>
      </top>
      <bottom style="thin">
        <color rgb="E8ECF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DDEEFF"/>
      </bottom>
      <diagonal/>
    </border>
    <border>
      <left style="medium">
        <color rgb="FFB8962E"/>
      </left>
      <right/>
      <top/>
      <bottom style="thin">
        <color rgb="DDEEFF"/>
      </bottom>
      <diagonal/>
    </border>
    <border>
      <left style="thin">
        <color rgb="DDEEFF"/>
      </left>
      <right style="thin">
        <color rgb="DDEEFF"/>
      </right>
      <top style="thin">
        <color rgb="DDEEFF"/>
      </top>
      <bottom style="thin">
        <color rgb="DDEEFF"/>
      </bottom>
      <diagonal/>
    </border>
    <border>
      <left style="thin">
        <color rgb="DDEEFF"/>
      </left>
      <right style="medium">
        <color rgb="FFB8962E"/>
      </right>
      <top style="thin">
        <color rgb="DDEEFF"/>
      </top>
      <bottom style="thin">
        <color rgb="DDEEFF"/>
      </bottom>
      <diagonal/>
    </border>
    <border>
      <left/>
      <right/>
      <top/>
      <bottom style="thin">
        <color rgb="E8E8E8"/>
      </bottom>
      <diagonal/>
    </border>
    <border>
      <left style="medium">
        <color rgb="FFB8962E"/>
      </left>
      <right/>
      <top/>
      <bottom style="thin">
        <color rgb="E8E8E8"/>
      </bottom>
      <diagonal/>
    </border>
    <border>
      <left style="thin">
        <color rgb="E8E8E8"/>
      </left>
      <right style="thin">
        <color rgb="E8E8E8"/>
      </right>
      <top style="thin">
        <color rgb="E8E8E8"/>
      </top>
      <bottom style="thin">
        <color rgb="E8E8E8"/>
      </bottom>
      <diagonal/>
    </border>
    <border>
      <left style="thin">
        <color rgb="E8E8E8"/>
      </left>
      <right style="medium">
        <color rgb="FFB8962E"/>
      </right>
      <top style="thin">
        <color rgb="E8E8E8"/>
      </top>
      <bottom style="thin">
        <color rgb="E8E8E8"/>
      </bottom>
      <diagonal/>
    </border>
    <border>
      <left style="thin">
        <color rgb="FFDDEEFF"/>
      </left>
      <right style="thin">
        <color rgb="FFDDEEFF"/>
      </right>
      <top style="thin">
        <color rgb="FFDDEEFF"/>
      </top>
      <bottom style="thin">
        <color rgb="FFDDEEFF"/>
      </bottom>
      <diagonal/>
    </border>
    <border>
      <left style="thin">
        <color rgb="FFDDEEFF"/>
      </left>
      <right style="medium">
        <color rgb="FFB8962E"/>
      </right>
      <top style="thin">
        <color rgb="FFDDEEFF"/>
      </top>
      <bottom style="thin">
        <color rgb="FFDDEEFF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medium">
        <color rgb="FFB8962E"/>
      </right>
      <top style="thin">
        <color rgb="FFE8E8E8"/>
      </top>
      <bottom style="thin">
        <color rgb="FFE8E8E8"/>
      </bottom>
      <diagonal/>
    </border>
    <border>
      <left style="medium">
        <color rgb="FFB8962E"/>
      </left>
      <right style="medium">
        <color rgb="FFB8962E"/>
      </right>
      <top style="medium">
        <color rgb="FFB8962E"/>
      </top>
      <bottom style="medium">
        <color rgb="FFB8962E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4" fillId="0" borderId="0" xfId="0" applyFont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4" fontId="5" fillId="0" borderId="1" xfId="0" applyNumberFormat="1" applyFont="1" applyBorder="1"/>
    <xf numFmtId="164" fontId="5" fillId="0" borderId="1" xfId="0" applyNumberFormat="1" applyFont="1" applyBorder="1"/>
    <xf numFmtId="0" fontId="4" fillId="0" borderId="0" xfId="0" applyFont="1" applyAlignment="1">
      <alignment horizontal="right"/>
    </xf>
    <xf numFmtId="164" fontId="4" fillId="0" borderId="0" xfId="0" applyNumberFormat="1" applyFont="1"/>
    <xf numFmtId="0" fontId="5" fillId="0" borderId="0" xfId="0" applyFont="1" applyAlignment="1">
      <alignment horizontal="right"/>
    </xf>
    <xf numFmtId="164" fontId="5" fillId="0" borderId="0" xfId="0" applyNumberFormat="1" applyFont="1"/>
    <xf numFmtId="164" fontId="4" fillId="0" borderId="2" xfId="0" applyNumberFormat="1" applyFont="1" applyBorder="1"/>
    <xf numFmtId="0" fontId="6" fillId="0" borderId="0" xfId="0" applyFont="1"/>
    <xf numFmtId="0" fontId="7" fillId="0" borderId="0" xfId="0" applyFont="1" applyAlignment="1">
      <alignment vertical="top" wrapText="1"/>
    </xf>
    <xf numFmtId="0" fontId="3" fillId="2" borderId="0" xfId="0" applyFont="1" applyFill="1"/>
    <xf numFmtId="0" fontId="4" fillId="3" borderId="0" xfId="0" applyFont="1" applyFill="1"/>
    <xf numFmtId="0" fontId="0" fillId="0" borderId="1" xfId="0" applyBorder="1"/>
    <xf numFmtId="0" fontId="0" fillId="0" borderId="1" xfId="0" applyBorder="1" applyAlignment="1">
      <alignment vertical="top" wrapText="1"/>
    </xf>
    <xf numFmtId="3" fontId="0" fillId="0" borderId="1" xfId="0" applyNumberFormat="1" applyBorder="1"/>
    <xf numFmtId="164" fontId="0" fillId="0" borderId="1" xfId="0" applyNumberFormat="1" applyBorder="1"/>
    <xf numFmtId="164" fontId="4" fillId="0" borderId="3" xfId="0" applyNumberFormat="1" applyFont="1" applyBorder="1"/>
    <xf numFmtId="0" fontId="3" fillId="0" borderId="0" xfId="0" applyFont="1"/>
    <xf numFmtId="164" fontId="0" fillId="0" borderId="0" xfId="0" applyNumberFormat="1"/>
    <xf numFmtId="0" fontId="7" fillId="0" borderId="0" xfId="0" applyFont="1"/>
    <xf numFmtId="0" fontId="3" fillId="2" borderId="0" xfId="0" applyFont="1" applyFill="1" applyAlignment="1">
      <alignment horizontal="right"/>
    </xf>
    <xf numFmtId="165" fontId="0" fillId="0" borderId="0" xfId="0" applyNumberFormat="1"/>
    <xf numFmtId="0" fontId="4" fillId="4" borderId="4" xfId="0" applyFont="1" applyFill="1" applyBorder="1"/>
    <xf numFmtId="164" fontId="4" fillId="4" borderId="4" xfId="0" applyNumberFormat="1" applyFont="1" applyFill="1" applyBorder="1"/>
    <xf numFmtId="4" fontId="0" fillId="0" borderId="0" xfId="0" applyNumberFormat="1"/>
    <xf numFmtId="4" fontId="8" fillId="0" borderId="0" xfId="0" applyNumberFormat="1" applyFont="1"/>
    <xf numFmtId="0" fontId="0" fillId="0" borderId="0" xfId="0" applyAlignment="1">
      <alignment horizontal="right"/>
    </xf>
    <xf numFmtId="0" fontId="8" fillId="0" borderId="0" xfId="0" applyFont="1"/>
    <xf numFmtId="164" fontId="8" fillId="0" borderId="0" xfId="0" applyNumberFormat="1" applyFont="1"/>
    <xf numFmtId="166" fontId="0" fillId="0" borderId="0" xfId="0" applyNumberFormat="1"/>
    <xf numFmtId="0" fontId="0" fillId="5" borderId="0" xfId="0" applyFill="1"/>
    <xf numFmtId="0" fontId="0" fillId="5" borderId="5" xfId="0" applyFill="1" applyBorder="1"/>
    <xf numFmtId="0" fontId="9" fillId="6" borderId="5" xfId="0" applyFont="1" applyFill="1" applyBorder="1" applyAlignment="1">
      <alignment horizontal="center" vertical="center"/>
    </xf>
    <xf numFmtId="0" fontId="0" fillId="6" borderId="5" xfId="0" applyFill="1" applyBorder="1"/>
    <xf numFmtId="0" fontId="10" fillId="7" borderId="0" xfId="0" applyFont="1" applyFill="1" applyAlignment="1">
      <alignment horizontal="center" vertical="center"/>
    </xf>
    <xf numFmtId="0" fontId="0" fillId="7" borderId="0" xfId="0" applyFill="1"/>
    <xf numFmtId="0" fontId="0" fillId="5" borderId="6" xfId="0" applyFill="1" applyBorder="1"/>
    <xf numFmtId="0" fontId="11" fillId="8" borderId="6" xfId="0" applyFont="1" applyFill="1" applyBorder="1" applyAlignment="1">
      <alignment horizontal="left" vertical="center"/>
    </xf>
    <xf numFmtId="0" fontId="0" fillId="8" borderId="6" xfId="0" applyFill="1" applyBorder="1"/>
    <xf numFmtId="0" fontId="0" fillId="5" borderId="7" xfId="0" applyFill="1" applyBorder="1"/>
    <xf numFmtId="0" fontId="12" fillId="9" borderId="8" xfId="0" applyFont="1" applyFill="1" applyBorder="1" applyAlignment="1">
      <alignment horizontal="left" vertical="center"/>
    </xf>
    <xf numFmtId="0" fontId="13" fillId="9" borderId="9" xfId="0" applyFont="1" applyFill="1" applyBorder="1" applyAlignment="1">
      <alignment horizontal="left" vertical="center"/>
    </xf>
    <xf numFmtId="0" fontId="0" fillId="9" borderId="7" xfId="0" applyFill="1" applyBorder="1"/>
    <xf numFmtId="0" fontId="0" fillId="5" borderId="10" xfId="0" applyFill="1" applyBorder="1"/>
    <xf numFmtId="0" fontId="12" fillId="10" borderId="11" xfId="0" applyFont="1" applyFill="1" applyBorder="1" applyAlignment="1">
      <alignment horizontal="left" vertical="center"/>
    </xf>
    <xf numFmtId="0" fontId="13" fillId="10" borderId="12" xfId="0" applyFont="1" applyFill="1" applyBorder="1" applyAlignment="1">
      <alignment horizontal="left" vertical="center"/>
    </xf>
    <xf numFmtId="0" fontId="0" fillId="10" borderId="10" xfId="0" applyFill="1" applyBorder="1"/>
    <xf numFmtId="0" fontId="0" fillId="5" borderId="13" xfId="0" applyFill="1" applyBorder="1"/>
    <xf numFmtId="0" fontId="14" fillId="7" borderId="13" xfId="0" applyFont="1" applyFill="1" applyBorder="1" applyAlignment="1">
      <alignment horizontal="center" vertical="center"/>
    </xf>
    <xf numFmtId="0" fontId="0" fillId="7" borderId="13" xfId="0" applyFill="1" applyBorder="1"/>
    <xf numFmtId="0" fontId="15" fillId="9" borderId="8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left" vertical="center"/>
    </xf>
    <xf numFmtId="0" fontId="15" fillId="9" borderId="9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0" fillId="7" borderId="5" xfId="0" applyFill="1" applyBorder="1"/>
    <xf numFmtId="0" fontId="19" fillId="7" borderId="5" xfId="0" applyFont="1" applyFill="1" applyBorder="1"/>
    <xf numFmtId="0" fontId="0" fillId="6" borderId="13" xfId="0" applyFill="1" applyBorder="1" applyAlignment="1">
      <alignment vertical="center"/>
    </xf>
    <xf numFmtId="0" fontId="20" fillId="7" borderId="14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left" vertical="center"/>
    </xf>
    <xf numFmtId="0" fontId="21" fillId="7" borderId="15" xfId="0" applyFont="1" applyFill="1" applyBorder="1" applyAlignment="1">
      <alignment horizontal="center" vertical="center" wrapText="1"/>
    </xf>
    <xf numFmtId="0" fontId="0" fillId="11" borderId="0" xfId="0" applyFill="1"/>
    <xf numFmtId="0" fontId="19" fillId="11" borderId="0" xfId="0" applyFont="1" applyFill="1" applyAlignment="1">
      <alignment horizontal="left" vertical="center"/>
    </xf>
    <xf numFmtId="0" fontId="22" fillId="11" borderId="16" xfId="0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left" vertical="center" wrapText="1"/>
    </xf>
    <xf numFmtId="0" fontId="23" fillId="10" borderId="17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167" fontId="23" fillId="10" borderId="17" xfId="0" applyNumberFormat="1" applyFont="1" applyFill="1" applyBorder="1" applyAlignment="1">
      <alignment horizontal="center" vertical="center"/>
    </xf>
    <xf numFmtId="167" fontId="24" fillId="12" borderId="17" xfId="0" applyNumberFormat="1" applyFont="1" applyFill="1" applyBorder="1" applyAlignment="1">
      <alignment horizontal="center" vertical="center"/>
    </xf>
    <xf numFmtId="167" fontId="25" fillId="13" borderId="17" xfId="0" applyNumberFormat="1" applyFont="1" applyFill="1" applyBorder="1" applyAlignment="1">
      <alignment horizontal="center" vertical="center"/>
    </xf>
    <xf numFmtId="0" fontId="26" fillId="10" borderId="17" xfId="0" applyFont="1" applyFill="1" applyBorder="1" applyAlignment="1">
      <alignment horizontal="left" vertical="center" wrapText="1"/>
    </xf>
    <xf numFmtId="0" fontId="13" fillId="14" borderId="18" xfId="0" applyFont="1" applyFill="1" applyBorder="1" applyAlignment="1">
      <alignment horizontal="center" vertical="center"/>
    </xf>
    <xf numFmtId="0" fontId="16" fillId="14" borderId="18" xfId="0" applyFont="1" applyFill="1" applyBorder="1" applyAlignment="1">
      <alignment horizontal="left" vertical="center" wrapText="1"/>
    </xf>
    <xf numFmtId="0" fontId="23" fillId="14" borderId="18" xfId="0" applyFont="1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167" fontId="23" fillId="14" borderId="18" xfId="0" applyNumberFormat="1" applyFont="1" applyFill="1" applyBorder="1" applyAlignment="1">
      <alignment horizontal="center" vertical="center"/>
    </xf>
    <xf numFmtId="167" fontId="24" fillId="12" borderId="18" xfId="0" applyNumberFormat="1" applyFont="1" applyFill="1" applyBorder="1" applyAlignment="1">
      <alignment horizontal="center" vertical="center"/>
    </xf>
    <xf numFmtId="167" fontId="25" fillId="13" borderId="18" xfId="0" applyNumberFormat="1" applyFont="1" applyFill="1" applyBorder="1" applyAlignment="1">
      <alignment horizontal="center" vertical="center"/>
    </xf>
    <xf numFmtId="0" fontId="26" fillId="14" borderId="18" xfId="0" applyFont="1" applyFill="1" applyBorder="1" applyAlignment="1">
      <alignment horizontal="left" vertical="center" wrapText="1"/>
    </xf>
    <xf numFmtId="0" fontId="27" fillId="15" borderId="0" xfId="0" applyFont="1" applyFill="1" applyAlignment="1">
      <alignment horizontal="center" vertical="center"/>
    </xf>
    <xf numFmtId="167" fontId="28" fillId="15" borderId="19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7" fillId="16" borderId="19" xfId="0" applyFont="1" applyFill="1" applyBorder="1" applyAlignment="1">
      <alignment horizontal="center" vertical="center"/>
    </xf>
    <xf numFmtId="167" fontId="28" fillId="16" borderId="19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30" fillId="6" borderId="15" xfId="0" applyFont="1" applyFill="1" applyBorder="1" applyAlignment="1">
      <alignment horizontal="center" vertical="center"/>
    </xf>
    <xf numFmtId="167" fontId="31" fillId="6" borderId="15" xfId="0" applyNumberFormat="1" applyFont="1" applyFill="1" applyBorder="1" applyAlignment="1">
      <alignment horizontal="center" vertical="center"/>
    </xf>
    <xf numFmtId="0" fontId="21" fillId="7" borderId="19" xfId="0" applyFont="1" applyFill="1" applyBorder="1" applyAlignment="1">
      <alignment horizontal="center" vertical="center" wrapText="1"/>
    </xf>
    <xf numFmtId="0" fontId="0" fillId="6" borderId="0" xfId="0" applyFill="1"/>
    <xf numFmtId="0" fontId="18" fillId="6" borderId="5" xfId="0" applyFont="1" applyFill="1" applyBorder="1" applyAlignment="1">
      <alignment horizontal="center" vertical="center"/>
    </xf>
    <xf numFmtId="0" fontId="0" fillId="9" borderId="0" xfId="0" applyFill="1"/>
    <xf numFmtId="0" fontId="32" fillId="9" borderId="0" xfId="0" applyFont="1" applyFill="1" applyAlignment="1">
      <alignment horizontal="center" vertical="center"/>
    </xf>
    <xf numFmtId="0" fontId="21" fillId="5" borderId="15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13" fillId="9" borderId="21" xfId="0" applyFont="1" applyFill="1" applyBorder="1" applyAlignment="1">
      <alignment horizontal="center" vertical="center"/>
    </xf>
    <xf numFmtId="0" fontId="32" fillId="9" borderId="22" xfId="0" applyFont="1" applyFill="1" applyBorder="1" applyAlignment="1">
      <alignment horizontal="left" vertical="center"/>
    </xf>
    <xf numFmtId="0" fontId="16" fillId="9" borderId="22" xfId="0" applyFont="1" applyFill="1" applyBorder="1" applyAlignment="1">
      <alignment horizontal="left" vertical="center" wrapText="1"/>
    </xf>
    <xf numFmtId="0" fontId="33" fillId="9" borderId="22" xfId="0" applyFont="1" applyFill="1" applyBorder="1" applyAlignment="1">
      <alignment horizontal="center" vertical="center"/>
    </xf>
    <xf numFmtId="167" fontId="34" fillId="12" borderId="22" xfId="0" applyNumberFormat="1" applyFont="1" applyFill="1" applyBorder="1" applyAlignment="1">
      <alignment horizontal="center" vertical="center"/>
    </xf>
    <xf numFmtId="2" fontId="35" fillId="17" borderId="22" xfId="0" applyNumberFormat="1" applyFont="1" applyFill="1" applyBorder="1" applyAlignment="1">
      <alignment horizontal="center" vertical="center"/>
    </xf>
    <xf numFmtId="1" fontId="36" fillId="9" borderId="22" xfId="0" applyNumberFormat="1" applyFont="1" applyFill="1" applyBorder="1" applyAlignment="1">
      <alignment horizontal="center" vertical="center"/>
    </xf>
    <xf numFmtId="0" fontId="32" fillId="9" borderId="23" xfId="0" applyFont="1" applyFill="1" applyBorder="1" applyAlignment="1">
      <alignment horizontal="left" vertical="center" wrapText="1"/>
    </xf>
    <xf numFmtId="0" fontId="0" fillId="5" borderId="24" xfId="0" applyFill="1" applyBorder="1"/>
    <xf numFmtId="0" fontId="13" fillId="10" borderId="25" xfId="0" applyFont="1" applyFill="1" applyBorder="1" applyAlignment="1">
      <alignment horizontal="center" vertical="center"/>
    </xf>
    <xf numFmtId="0" fontId="32" fillId="10" borderId="26" xfId="0" applyFont="1" applyFill="1" applyBorder="1" applyAlignment="1">
      <alignment horizontal="left" vertical="center"/>
    </xf>
    <xf numFmtId="0" fontId="16" fillId="10" borderId="26" xfId="0" applyFont="1" applyFill="1" applyBorder="1" applyAlignment="1">
      <alignment horizontal="left" vertical="center" wrapText="1"/>
    </xf>
    <xf numFmtId="0" fontId="33" fillId="10" borderId="26" xfId="0" applyFont="1" applyFill="1" applyBorder="1" applyAlignment="1">
      <alignment horizontal="center" vertical="center"/>
    </xf>
    <xf numFmtId="167" fontId="34" fillId="12" borderId="26" xfId="0" applyNumberFormat="1" applyFont="1" applyFill="1" applyBorder="1" applyAlignment="1">
      <alignment horizontal="center" vertical="center"/>
    </xf>
    <xf numFmtId="2" fontId="35" fillId="17" borderId="26" xfId="0" applyNumberFormat="1" applyFont="1" applyFill="1" applyBorder="1" applyAlignment="1">
      <alignment horizontal="center" vertical="center"/>
    </xf>
    <xf numFmtId="1" fontId="36" fillId="9" borderId="26" xfId="0" applyNumberFormat="1" applyFont="1" applyFill="1" applyBorder="1" applyAlignment="1">
      <alignment horizontal="center" vertical="center"/>
    </xf>
    <xf numFmtId="0" fontId="32" fillId="10" borderId="27" xfId="0" applyFont="1" applyFill="1" applyBorder="1" applyAlignment="1">
      <alignment horizontal="left" vertical="center" wrapText="1"/>
    </xf>
    <xf numFmtId="0" fontId="13" fillId="9" borderId="8" xfId="0" applyFont="1" applyFill="1" applyBorder="1" applyAlignment="1">
      <alignment horizontal="center" vertical="center"/>
    </xf>
    <xf numFmtId="0" fontId="32" fillId="9" borderId="28" xfId="0" applyFont="1" applyFill="1" applyBorder="1" applyAlignment="1">
      <alignment horizontal="left" vertical="center"/>
    </xf>
    <xf numFmtId="0" fontId="16" fillId="9" borderId="28" xfId="0" applyFont="1" applyFill="1" applyBorder="1" applyAlignment="1">
      <alignment horizontal="left" vertical="center" wrapText="1"/>
    </xf>
    <xf numFmtId="0" fontId="23" fillId="9" borderId="28" xfId="0" applyFont="1" applyFill="1" applyBorder="1" applyAlignment="1">
      <alignment horizontal="center" vertical="center"/>
    </xf>
    <xf numFmtId="167" fontId="37" fillId="12" borderId="28" xfId="0" applyNumberFormat="1" applyFont="1" applyFill="1" applyBorder="1" applyAlignment="1">
      <alignment horizontal="center" vertical="center"/>
    </xf>
    <xf numFmtId="164" fontId="37" fillId="18" borderId="16" xfId="0" applyNumberFormat="1" applyFont="1" applyFill="1" applyBorder="1" applyAlignment="1">
      <alignment horizontal="center" vertical="center"/>
    </xf>
    <xf numFmtId="164" fontId="36" fillId="9" borderId="28" xfId="0" applyNumberFormat="1" applyFont="1" applyFill="1" applyBorder="1" applyAlignment="1">
      <alignment horizontal="center" vertical="center"/>
    </xf>
    <xf numFmtId="0" fontId="32" fillId="9" borderId="29" xfId="0" applyFont="1" applyFill="1" applyBorder="1" applyAlignment="1">
      <alignment horizontal="left" vertical="center" wrapText="1"/>
    </xf>
    <xf numFmtId="0" fontId="13" fillId="10" borderId="11" xfId="0" applyFont="1" applyFill="1" applyBorder="1" applyAlignment="1">
      <alignment horizontal="center" vertical="center"/>
    </xf>
    <xf numFmtId="0" fontId="32" fillId="10" borderId="30" xfId="0" applyFont="1" applyFill="1" applyBorder="1" applyAlignment="1">
      <alignment horizontal="left" vertical="center"/>
    </xf>
    <xf numFmtId="0" fontId="16" fillId="10" borderId="30" xfId="0" applyFont="1" applyFill="1" applyBorder="1" applyAlignment="1">
      <alignment horizontal="left" vertical="center" wrapText="1"/>
    </xf>
    <xf numFmtId="0" fontId="23" fillId="10" borderId="30" xfId="0" applyFont="1" applyFill="1" applyBorder="1" applyAlignment="1">
      <alignment horizontal="center" vertical="center"/>
    </xf>
    <xf numFmtId="167" fontId="37" fillId="12" borderId="30" xfId="0" applyNumberFormat="1" applyFont="1" applyFill="1" applyBorder="1" applyAlignment="1">
      <alignment horizontal="center" vertical="center"/>
    </xf>
    <xf numFmtId="164" fontId="36" fillId="9" borderId="30" xfId="0" applyNumberFormat="1" applyFont="1" applyFill="1" applyBorder="1" applyAlignment="1">
      <alignment horizontal="center" vertical="center"/>
    </xf>
    <xf numFmtId="0" fontId="32" fillId="10" borderId="31" xfId="0" applyFont="1" applyFill="1" applyBorder="1" applyAlignment="1">
      <alignment horizontal="left" vertical="center" wrapText="1"/>
    </xf>
    <xf numFmtId="0" fontId="0" fillId="8" borderId="0" xfId="0" applyFill="1"/>
    <xf numFmtId="0" fontId="30" fillId="8" borderId="13" xfId="0" applyFont="1" applyFill="1" applyBorder="1" applyAlignment="1">
      <alignment horizontal="right" vertical="center"/>
    </xf>
    <xf numFmtId="164" fontId="38" fillId="8" borderId="32" xfId="0" applyNumberFormat="1" applyFont="1" applyFill="1" applyBorder="1" applyAlignment="1">
      <alignment horizontal="center" vertical="center"/>
    </xf>
    <xf numFmtId="0" fontId="39" fillId="7" borderId="13" xfId="0" applyFont="1" applyFill="1" applyBorder="1" applyAlignment="1">
      <alignment horizontal="right" vertical="center"/>
    </xf>
    <xf numFmtId="164" fontId="40" fillId="7" borderId="32" xfId="0" applyNumberFormat="1" applyFont="1" applyFill="1" applyBorder="1" applyAlignment="1">
      <alignment horizontal="center" vertical="center"/>
    </xf>
    <xf numFmtId="0" fontId="30" fillId="6" borderId="13" xfId="0" applyFont="1" applyFill="1" applyBorder="1" applyAlignment="1">
      <alignment horizontal="right" vertical="center"/>
    </xf>
    <xf numFmtId="164" fontId="38" fillId="6" borderId="3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4" customWidth="1"/>
    <col min="3" max="3" width="24" customWidth="1"/>
    <col min="4" max="4" width="7" customWidth="1"/>
    <col min="5" max="5" width="11" customWidth="1"/>
    <col min="6" max="6" width="13" customWidth="1"/>
    <col min="8" max="8" width="13" customWidth="1"/>
    <col min="9" max="9" width="16" customWidth="1"/>
    <col min="10" max="10" width="40" customWidth="1"/>
    <col min="11" max="11" width="3" hidden="1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6" ht="20" customHeight="1" spans="1:10" s="3" customFormat="1" x14ac:dyDescent="0.25">
      <c r="A6" s="3" t="s">
        <v>2</v>
      </c>
      <c r="B6" s="3" t="s">
        <v>3</v>
      </c>
      <c r="C6" s="3" t="s">
        <v>4</v>
      </c>
      <c r="D6" s="4" t="s">
        <v>5</v>
      </c>
      <c r="E6" s="3" t="s">
        <v>6</v>
      </c>
      <c r="F6" s="4" t="s">
        <v>7</v>
      </c>
      <c r="G6" s="3" t="s">
        <v>8</v>
      </c>
      <c r="H6" s="4" t="s">
        <v>9</v>
      </c>
      <c r="I6" s="4" t="s">
        <v>10</v>
      </c>
      <c r="J6" s="3" t="s">
        <v>11</v>
      </c>
    </row>
    <row r="7" spans="1:11" s="5" customFormat="1" x14ac:dyDescent="0.25">
      <c r="A7" s="6" t="s">
        <v>12</v>
      </c>
      <c r="B7" s="6" t="s">
        <v>13</v>
      </c>
      <c r="C7" s="6" t="s">
        <v>14</v>
      </c>
      <c r="D7" s="6"/>
      <c r="E7" s="6"/>
      <c r="F7" s="6"/>
      <c r="G7" s="6"/>
      <c r="H7" s="6"/>
      <c r="I7" s="7">
        <f>SUM(I8:I9)</f>
      </c>
      <c r="J7" s="6" t="s">
        <v>15</v>
      </c>
      <c r="K7" s="5">
        <v>1</v>
      </c>
    </row>
    <row r="8" spans="1:10" s="8" customFormat="1" x14ac:dyDescent="0.25">
      <c r="A8" s="9" t="s">
        <v>16</v>
      </c>
      <c r="B8" s="9" t="s">
        <v>17</v>
      </c>
      <c r="C8" s="9" t="s">
        <v>14</v>
      </c>
      <c r="D8" s="10">
        <v>1</v>
      </c>
      <c r="E8" s="9" t="s">
        <v>18</v>
      </c>
      <c r="F8" s="11">
        <v>2.047494048946897</v>
      </c>
      <c r="G8" s="9" t="s">
        <v>19</v>
      </c>
      <c r="H8" s="12">
        <v>0</v>
      </c>
      <c r="I8" s="12">
        <f>F8*H8</f>
      </c>
      <c r="J8" s="9" t="s">
        <v>15</v>
      </c>
    </row>
    <row r="9" spans="1:10" s="8" customFormat="1" x14ac:dyDescent="0.25">
      <c r="A9" s="9" t="s">
        <v>20</v>
      </c>
      <c r="B9" s="9" t="s">
        <v>21</v>
      </c>
      <c r="C9" s="9" t="s">
        <v>14</v>
      </c>
      <c r="D9" s="10">
        <v>1</v>
      </c>
      <c r="E9" s="9" t="s">
        <v>18</v>
      </c>
      <c r="F9" s="11">
        <v>4.0849</v>
      </c>
      <c r="G9" s="9" t="s">
        <v>19</v>
      </c>
      <c r="H9" s="12">
        <v>0</v>
      </c>
      <c r="I9" s="12">
        <f>F9*H9</f>
      </c>
      <c r="J9" s="9" t="s">
        <v>22</v>
      </c>
    </row>
    <row r="10" spans="1:11" s="5" customFormat="1" x14ac:dyDescent="0.25">
      <c r="A10" s="6" t="s">
        <v>23</v>
      </c>
      <c r="B10" s="6" t="s">
        <v>24</v>
      </c>
      <c r="C10" s="6" t="s">
        <v>14</v>
      </c>
      <c r="D10" s="6"/>
      <c r="E10" s="6"/>
      <c r="F10" s="6"/>
      <c r="G10" s="6"/>
      <c r="H10" s="6"/>
      <c r="I10" s="7">
        <f>SUM(I11:I14)</f>
      </c>
      <c r="J10" s="6" t="s">
        <v>15</v>
      </c>
      <c r="K10" s="5">
        <v>1</v>
      </c>
    </row>
    <row r="11" spans="1:10" s="8" customFormat="1" x14ac:dyDescent="0.25">
      <c r="A11" s="9" t="s">
        <v>25</v>
      </c>
      <c r="B11" s="9" t="s">
        <v>26</v>
      </c>
      <c r="C11" s="9" t="s">
        <v>14</v>
      </c>
      <c r="D11" s="10">
        <v>1</v>
      </c>
      <c r="E11" s="9" t="s">
        <v>18</v>
      </c>
      <c r="F11" s="11">
        <v>2.0533387418320483</v>
      </c>
      <c r="G11" s="9" t="s">
        <v>19</v>
      </c>
      <c r="H11" s="12">
        <v>0</v>
      </c>
      <c r="I11" s="12">
        <f>F11*H11</f>
      </c>
      <c r="J11" s="9" t="s">
        <v>15</v>
      </c>
    </row>
    <row r="12" spans="1:10" s="8" customFormat="1" x14ac:dyDescent="0.25">
      <c r="A12" s="9" t="s">
        <v>27</v>
      </c>
      <c r="B12" s="9" t="s">
        <v>28</v>
      </c>
      <c r="C12" s="9" t="s">
        <v>14</v>
      </c>
      <c r="D12" s="10">
        <v>1</v>
      </c>
      <c r="E12" s="9" t="s">
        <v>18</v>
      </c>
      <c r="F12" s="11">
        <v>2.052393185498614</v>
      </c>
      <c r="G12" s="9" t="s">
        <v>19</v>
      </c>
      <c r="H12" s="12">
        <v>0</v>
      </c>
      <c r="I12" s="12">
        <f>F12*H12</f>
      </c>
      <c r="J12" s="9" t="s">
        <v>15</v>
      </c>
    </row>
    <row r="13" spans="1:10" s="8" customFormat="1" x14ac:dyDescent="0.25">
      <c r="A13" s="9" t="s">
        <v>29</v>
      </c>
      <c r="B13" s="9" t="s">
        <v>30</v>
      </c>
      <c r="C13" s="9" t="s">
        <v>14</v>
      </c>
      <c r="D13" s="10">
        <v>1</v>
      </c>
      <c r="E13" s="9" t="s">
        <v>18</v>
      </c>
      <c r="F13" s="11">
        <v>0.3164830600589758</v>
      </c>
      <c r="G13" s="9" t="s">
        <v>19</v>
      </c>
      <c r="H13" s="12">
        <v>0</v>
      </c>
      <c r="I13" s="12">
        <f>F13*H13</f>
      </c>
      <c r="J13" s="9" t="s">
        <v>15</v>
      </c>
    </row>
    <row r="14" spans="1:10" s="8" customFormat="1" x14ac:dyDescent="0.25">
      <c r="A14" s="9" t="s">
        <v>31</v>
      </c>
      <c r="B14" s="9" t="s">
        <v>32</v>
      </c>
      <c r="C14" s="9" t="s">
        <v>14</v>
      </c>
      <c r="D14" s="10">
        <v>1</v>
      </c>
      <c r="E14" s="9" t="s">
        <v>18</v>
      </c>
      <c r="F14" s="11">
        <v>0.334127337497218</v>
      </c>
      <c r="G14" s="9" t="s">
        <v>19</v>
      </c>
      <c r="H14" s="12">
        <v>0</v>
      </c>
      <c r="I14" s="12">
        <f>F14*H14</f>
      </c>
      <c r="J14" s="9" t="s">
        <v>15</v>
      </c>
    </row>
    <row r="15" spans="1:11" s="5" customFormat="1" x14ac:dyDescent="0.25">
      <c r="A15" s="6" t="s">
        <v>33</v>
      </c>
      <c r="B15" s="6" t="s">
        <v>24</v>
      </c>
      <c r="C15" s="6" t="s">
        <v>34</v>
      </c>
      <c r="D15" s="6"/>
      <c r="E15" s="6"/>
      <c r="F15" s="6"/>
      <c r="G15" s="6"/>
      <c r="H15" s="6"/>
      <c r="I15" s="7">
        <v>0</v>
      </c>
      <c r="J15" s="6" t="s">
        <v>15</v>
      </c>
      <c r="K15" s="5">
        <v>1</v>
      </c>
    </row>
    <row r="16" spans="1:11" s="5" customFormat="1" x14ac:dyDescent="0.25">
      <c r="A16" s="6" t="s">
        <v>35</v>
      </c>
      <c r="B16" s="6" t="s">
        <v>36</v>
      </c>
      <c r="C16" s="6" t="s">
        <v>34</v>
      </c>
      <c r="D16" s="6"/>
      <c r="E16" s="6"/>
      <c r="F16" s="6"/>
      <c r="G16" s="6"/>
      <c r="H16" s="6"/>
      <c r="I16" s="7">
        <f>SUM(I17:I17)</f>
      </c>
      <c r="J16" s="6" t="s">
        <v>15</v>
      </c>
      <c r="K16" s="5">
        <v>1</v>
      </c>
    </row>
    <row r="17" spans="1:10" s="8" customFormat="1" x14ac:dyDescent="0.25">
      <c r="A17" s="9" t="s">
        <v>37</v>
      </c>
      <c r="B17" s="9" t="s">
        <v>38</v>
      </c>
      <c r="C17" s="9" t="s">
        <v>34</v>
      </c>
      <c r="D17" s="10">
        <v>1</v>
      </c>
      <c r="E17" s="9" t="s">
        <v>18</v>
      </c>
      <c r="F17" s="11">
        <v>0.008395739220138917</v>
      </c>
      <c r="G17" s="9" t="s">
        <v>19</v>
      </c>
      <c r="H17" s="12">
        <v>0</v>
      </c>
      <c r="I17" s="12">
        <f>F17*H17</f>
      </c>
      <c r="J17" s="9" t="s">
        <v>15</v>
      </c>
    </row>
    <row r="18" spans="1:11" s="5" customFormat="1" x14ac:dyDescent="0.25">
      <c r="A18" s="6" t="s">
        <v>39</v>
      </c>
      <c r="B18" s="6" t="s">
        <v>36</v>
      </c>
      <c r="C18" s="6" t="s">
        <v>14</v>
      </c>
      <c r="D18" s="6"/>
      <c r="E18" s="6"/>
      <c r="F18" s="6"/>
      <c r="G18" s="6"/>
      <c r="H18" s="6"/>
      <c r="I18" s="7">
        <f>SUM(I19:I21)</f>
      </c>
      <c r="J18" s="6" t="s">
        <v>15</v>
      </c>
      <c r="K18" s="5">
        <v>1</v>
      </c>
    </row>
    <row r="19" spans="1:10" s="8" customFormat="1" x14ac:dyDescent="0.25">
      <c r="A19" s="9" t="s">
        <v>40</v>
      </c>
      <c r="B19" s="9" t="s">
        <v>41</v>
      </c>
      <c r="C19" s="9" t="s">
        <v>14</v>
      </c>
      <c r="D19" s="10">
        <v>1</v>
      </c>
      <c r="E19" s="9" t="s">
        <v>42</v>
      </c>
      <c r="F19" s="11">
        <v>5.3324</v>
      </c>
      <c r="G19" s="9" t="s">
        <v>43</v>
      </c>
      <c r="H19" s="12">
        <v>0</v>
      </c>
      <c r="I19" s="12">
        <f>F19*H19</f>
      </c>
      <c r="J19" s="9" t="s">
        <v>15</v>
      </c>
    </row>
    <row r="20" spans="1:10" s="8" customFormat="1" x14ac:dyDescent="0.25">
      <c r="A20" s="9" t="s">
        <v>44</v>
      </c>
      <c r="B20" s="9" t="s">
        <v>45</v>
      </c>
      <c r="C20" s="9" t="s">
        <v>14</v>
      </c>
      <c r="D20" s="10">
        <v>1</v>
      </c>
      <c r="E20" s="9" t="s">
        <v>42</v>
      </c>
      <c r="F20" s="11">
        <v>2.1992</v>
      </c>
      <c r="G20" s="9" t="s">
        <v>43</v>
      </c>
      <c r="H20" s="12">
        <v>0</v>
      </c>
      <c r="I20" s="12">
        <f>F20*H20</f>
      </c>
      <c r="J20" s="9" t="s">
        <v>15</v>
      </c>
    </row>
    <row r="21" spans="1:10" s="8" customFormat="1" x14ac:dyDescent="0.25">
      <c r="A21" s="9" t="s">
        <v>46</v>
      </c>
      <c r="B21" s="9" t="s">
        <v>47</v>
      </c>
      <c r="C21" s="9" t="s">
        <v>14</v>
      </c>
      <c r="D21" s="10">
        <v>1</v>
      </c>
      <c r="E21" s="9" t="s">
        <v>42</v>
      </c>
      <c r="F21" s="11">
        <v>0.2666</v>
      </c>
      <c r="G21" s="9" t="s">
        <v>43</v>
      </c>
      <c r="H21" s="12">
        <v>0</v>
      </c>
      <c r="I21" s="12">
        <f>F21*H21</f>
      </c>
      <c r="J21" s="9" t="s">
        <v>15</v>
      </c>
    </row>
    <row r="23" spans="8:9" s="5" customFormat="1" x14ac:dyDescent="0.25">
      <c r="H23" s="13" t="s">
        <v>48</v>
      </c>
      <c r="I23" s="14">
        <f>SUMIF(K7:K21,1,I7:I21)</f>
      </c>
    </row>
    <row r="24" spans="8:9" s="8" customFormat="1" x14ac:dyDescent="0.25">
      <c r="H24" s="15" t="s">
        <v>49</v>
      </c>
      <c r="I24" s="16">
        <f>I23*5/100</f>
      </c>
    </row>
    <row r="25" spans="8:9" s="5" customFormat="1" x14ac:dyDescent="0.25">
      <c r="H25" s="13" t="s">
        <v>50</v>
      </c>
      <c r="I25" s="17">
        <f>I23+I24</f>
      </c>
    </row>
    <row r="27" spans="1:10" x14ac:dyDescent="0.25">
      <c r="A27" s="18" t="s">
        <v>51</v>
      </c>
      <c r="B27" s="18"/>
      <c r="C27" s="18"/>
      <c r="D27" s="18"/>
      <c r="E27" s="18"/>
      <c r="F27" s="18"/>
      <c r="G27" s="18"/>
      <c r="H27" s="18"/>
      <c r="I27" s="18"/>
      <c r="J27" s="18"/>
    </row>
  </sheetData>
  <mergeCells count="3">
    <mergeCell ref="A1:J1"/>
    <mergeCell ref="A2:J2"/>
    <mergeCell ref="A27:J2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58" customWidth="1"/>
    <col min="3" max="3" width="11" customWidth="1"/>
    <col min="4" max="4" width="7" customWidth="1"/>
    <col min="5" max="5" width="14" customWidth="1"/>
    <col min="6" max="6" width="18" customWidth="1"/>
  </cols>
  <sheetData>
    <row r="1" spans="1:6" x14ac:dyDescent="0.25">
      <c r="A1" s="1" t="s">
        <v>52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6" customHeight="1" spans="1:6" x14ac:dyDescent="0.25">
      <c r="A3" s="19" t="s">
        <v>53</v>
      </c>
      <c r="B3" s="19"/>
      <c r="C3" s="19"/>
      <c r="D3" s="19"/>
      <c r="E3" s="19"/>
      <c r="F3" s="19"/>
    </row>
    <row r="5" ht="20" customHeight="1" spans="1:6" s="20" customFormat="1" x14ac:dyDescent="0.25">
      <c r="A5" s="20" t="s">
        <v>2</v>
      </c>
      <c r="B5" s="20" t="s">
        <v>3</v>
      </c>
      <c r="C5" s="4" t="s">
        <v>7</v>
      </c>
      <c r="D5" s="20" t="s">
        <v>8</v>
      </c>
      <c r="E5" s="4" t="s">
        <v>9</v>
      </c>
      <c r="F5" s="4" t="s">
        <v>10</v>
      </c>
    </row>
    <row r="6" spans="1:6" s="5" customFormat="1" x14ac:dyDescent="0.25">
      <c r="A6" s="21" t="s">
        <v>54</v>
      </c>
      <c r="B6" s="21" t="s">
        <v>55</v>
      </c>
      <c r="C6" s="21"/>
      <c r="D6" s="21"/>
      <c r="E6" s="21"/>
      <c r="F6" s="21"/>
    </row>
    <row r="7" spans="1:6" x14ac:dyDescent="0.25">
      <c r="A7" s="22" t="s">
        <v>56</v>
      </c>
      <c r="B7" s="23" t="s">
        <v>13</v>
      </c>
      <c r="C7" s="24">
        <v>6</v>
      </c>
      <c r="D7" s="22" t="s">
        <v>57</v>
      </c>
      <c r="E7" s="25">
        <v>0</v>
      </c>
      <c r="F7" s="25">
        <f>C7*E7</f>
      </c>
    </row>
    <row r="8" spans="1:6" x14ac:dyDescent="0.25">
      <c r="A8" s="22" t="s">
        <v>58</v>
      </c>
      <c r="B8" s="23" t="s">
        <v>36</v>
      </c>
      <c r="C8" s="24">
        <v>1</v>
      </c>
      <c r="D8" s="22" t="s">
        <v>57</v>
      </c>
      <c r="E8" s="25">
        <v>0</v>
      </c>
      <c r="F8" s="25">
        <f>C8*E8</f>
      </c>
    </row>
    <row r="9" spans="1:6" x14ac:dyDescent="0.25">
      <c r="A9" s="22" t="s">
        <v>59</v>
      </c>
      <c r="B9" s="23" t="s">
        <v>36</v>
      </c>
      <c r="C9" s="24">
        <v>8</v>
      </c>
      <c r="D9" s="22" t="s">
        <v>43</v>
      </c>
      <c r="E9" s="25">
        <v>0</v>
      </c>
      <c r="F9" s="25">
        <f>C9*E9</f>
      </c>
    </row>
    <row r="10" spans="5:6" s="5" customFormat="1" x14ac:dyDescent="0.25">
      <c r="E10" s="13" t="s">
        <v>60</v>
      </c>
      <c r="F10" s="26">
        <f>SUM(F7:F9)</f>
      </c>
    </row>
    <row r="12" spans="1:6" s="5" customFormat="1" x14ac:dyDescent="0.25">
      <c r="A12" s="21" t="s">
        <v>61</v>
      </c>
      <c r="B12" s="21" t="s">
        <v>62</v>
      </c>
      <c r="C12" s="21"/>
      <c r="D12" s="21"/>
      <c r="E12" s="21"/>
      <c r="F12" s="21"/>
    </row>
    <row r="13" spans="1:6" x14ac:dyDescent="0.25">
      <c r="A13" s="22" t="s">
        <v>56</v>
      </c>
      <c r="B13" s="23" t="s">
        <v>24</v>
      </c>
      <c r="C13" s="24">
        <v>5</v>
      </c>
      <c r="D13" s="22" t="s">
        <v>57</v>
      </c>
      <c r="E13" s="25">
        <v>0</v>
      </c>
      <c r="F13" s="25">
        <f>C13*E13</f>
      </c>
    </row>
    <row r="14" spans="1:6" x14ac:dyDescent="0.25">
      <c r="A14" s="22" t="s">
        <v>58</v>
      </c>
      <c r="B14" s="23" t="s">
        <v>24</v>
      </c>
      <c r="C14" s="24">
        <v>5</v>
      </c>
      <c r="D14" s="22" t="s">
        <v>57</v>
      </c>
      <c r="E14" s="25">
        <v>0</v>
      </c>
      <c r="F14" s="25">
        <f>C14*E14</f>
      </c>
    </row>
    <row r="15" spans="5:6" s="5" customFormat="1" x14ac:dyDescent="0.25">
      <c r="E15" s="13" t="s">
        <v>60</v>
      </c>
      <c r="F15" s="26">
        <f>SUM(F13:F14)</f>
      </c>
    </row>
    <row r="17" spans="1:6" s="27" customFormat="1" x14ac:dyDescent="0.25">
      <c r="A17" s="20"/>
      <c r="B17" s="20" t="s">
        <v>63</v>
      </c>
      <c r="C17" s="20"/>
      <c r="D17" s="20"/>
      <c r="E17" s="20"/>
      <c r="F17" s="20"/>
    </row>
    <row r="18" spans="2:6" x14ac:dyDescent="0.25">
      <c r="B18" t="s">
        <v>64</v>
      </c>
      <c r="F18" s="28">
        <f>F10</f>
      </c>
    </row>
    <row r="19" spans="2:6" x14ac:dyDescent="0.25">
      <c r="B19" t="s">
        <v>65</v>
      </c>
      <c r="F19" s="28">
        <f>F15</f>
      </c>
    </row>
    <row r="20" spans="5:6" s="5" customFormat="1" x14ac:dyDescent="0.25">
      <c r="E20" s="13" t="s">
        <v>48</v>
      </c>
      <c r="F20" s="14">
        <f>SUM(F18:F19)</f>
      </c>
    </row>
    <row r="21" spans="5:6" s="8" customFormat="1" x14ac:dyDescent="0.25">
      <c r="E21" s="15" t="s">
        <v>49</v>
      </c>
      <c r="F21" s="16">
        <f>F20*5/100</f>
      </c>
    </row>
    <row r="22" spans="5:6" s="5" customFormat="1" x14ac:dyDescent="0.25">
      <c r="E22" s="13" t="s">
        <v>50</v>
      </c>
      <c r="F22" s="17">
        <f>F20+F21</f>
      </c>
    </row>
  </sheetData>
  <mergeCells count="3">
    <mergeCell ref="A1:F1"/>
    <mergeCell ref="A2:F2"/>
    <mergeCell ref="A3:F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FormatPr defaultRowHeight="15" outlineLevelRow="0" outlineLevelCol="0" x14ac:dyDescent="55"/>
  <cols>
    <col min="1" max="1" width="34" customWidth="1"/>
    <col min="2" max="2" width="10" customWidth="1"/>
    <col min="3" max="3" width="20" customWidth="1"/>
    <col min="4" max="4" width="52" customWidth="1"/>
  </cols>
  <sheetData>
    <row r="1" spans="1:4" x14ac:dyDescent="0.25">
      <c r="A1" s="1" t="s">
        <v>66</v>
      </c>
      <c r="B1" s="1"/>
      <c r="C1" s="1"/>
      <c r="D1" s="1"/>
    </row>
    <row r="2" spans="1:4" x14ac:dyDescent="0.25">
      <c r="A2" s="29" t="s">
        <v>67</v>
      </c>
      <c r="B2" s="29"/>
      <c r="C2" s="29"/>
      <c r="D2" s="29"/>
    </row>
    <row r="4" spans="1:4" s="27" customFormat="1" x14ac:dyDescent="0.25">
      <c r="A4" s="20" t="s">
        <v>15</v>
      </c>
      <c r="B4" s="30" t="s">
        <v>68</v>
      </c>
      <c r="C4" s="30" t="s">
        <v>10</v>
      </c>
      <c r="D4" s="20" t="s">
        <v>69</v>
      </c>
    </row>
    <row r="5" spans="1:4" x14ac:dyDescent="0.25">
      <c r="A5" t="s">
        <v>70</v>
      </c>
      <c r="C5" s="28">
        <v>0</v>
      </c>
      <c r="D5" s="18" t="s">
        <v>71</v>
      </c>
    </row>
    <row r="6" spans="1:4" x14ac:dyDescent="0.25">
      <c r="A6" t="s">
        <v>72</v>
      </c>
      <c r="B6" s="31">
        <v>0</v>
      </c>
      <c r="C6" s="28">
        <v>0</v>
      </c>
      <c r="D6" s="18" t="s">
        <v>73</v>
      </c>
    </row>
    <row r="7" spans="1:4" x14ac:dyDescent="0.25">
      <c r="A7" t="s">
        <v>74</v>
      </c>
      <c r="C7" s="28">
        <v>0</v>
      </c>
      <c r="D7" s="18" t="s">
        <v>75</v>
      </c>
    </row>
    <row r="8" spans="1:4" s="5" customFormat="1" x14ac:dyDescent="0.25">
      <c r="A8" s="32" t="s">
        <v>76</v>
      </c>
      <c r="B8" s="32"/>
      <c r="C8" s="33">
        <v>0</v>
      </c>
      <c r="D8" s="32" t="s">
        <v>15</v>
      </c>
    </row>
    <row r="9" spans="1:4" x14ac:dyDescent="0.25">
      <c r="A9" t="s">
        <v>77</v>
      </c>
      <c r="B9" s="31">
        <v>0</v>
      </c>
      <c r="C9" s="28">
        <v>0</v>
      </c>
      <c r="D9" s="18" t="s">
        <v>78</v>
      </c>
    </row>
    <row r="10" spans="1:4" x14ac:dyDescent="0.25">
      <c r="A10" t="s">
        <v>79</v>
      </c>
      <c r="B10" s="31">
        <v>0</v>
      </c>
      <c r="C10" s="28">
        <v>0</v>
      </c>
      <c r="D10" s="18" t="s">
        <v>80</v>
      </c>
    </row>
    <row r="11" spans="1:4" x14ac:dyDescent="0.25">
      <c r="A11" t="s">
        <v>81</v>
      </c>
      <c r="B11" s="31">
        <v>0</v>
      </c>
      <c r="C11" s="28">
        <v>0</v>
      </c>
      <c r="D11" s="18" t="s">
        <v>15</v>
      </c>
    </row>
    <row r="12" spans="1:4" s="5" customFormat="1" x14ac:dyDescent="0.25">
      <c r="A12" s="32" t="s">
        <v>82</v>
      </c>
      <c r="B12" s="32"/>
      <c r="C12" s="33">
        <v>0</v>
      </c>
      <c r="D12" s="32" t="s">
        <v>15</v>
      </c>
    </row>
    <row r="13" spans="1:4" x14ac:dyDescent="0.25">
      <c r="A13" t="s">
        <v>83</v>
      </c>
      <c r="B13" s="31">
        <v>0.05</v>
      </c>
      <c r="C13" s="28">
        <v>0</v>
      </c>
      <c r="D13" s="18" t="s">
        <v>15</v>
      </c>
    </row>
    <row r="14" spans="1:4" s="5" customFormat="1" x14ac:dyDescent="0.25">
      <c r="A14" s="32" t="s">
        <v>50</v>
      </c>
      <c r="B14" s="32"/>
      <c r="C14" s="33">
        <v>0</v>
      </c>
      <c r="D14" s="32" t="s">
        <v>15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3" customWidth="1"/>
    <col min="4" max="4" width="7" customWidth="1"/>
    <col min="6" max="6" width="13" customWidth="1"/>
    <col min="8" max="9" width="14" customWidth="1"/>
    <col min="10" max="10" width="16" customWidth="1"/>
    <col min="11" max="11" width="26" customWidth="1"/>
  </cols>
  <sheetData>
    <row r="1" spans="1:11" x14ac:dyDescent="0.25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9" t="s">
        <v>85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4" spans="1:11" s="27" customFormat="1" x14ac:dyDescent="0.25">
      <c r="A4" s="20" t="s">
        <v>86</v>
      </c>
      <c r="B4" s="20" t="s">
        <v>87</v>
      </c>
      <c r="C4" s="30" t="s">
        <v>88</v>
      </c>
      <c r="D4" s="20" t="s">
        <v>8</v>
      </c>
      <c r="E4" s="30" t="s">
        <v>89</v>
      </c>
      <c r="F4" s="30" t="s">
        <v>90</v>
      </c>
      <c r="G4" s="20" t="s">
        <v>91</v>
      </c>
      <c r="H4" s="30" t="s">
        <v>92</v>
      </c>
      <c r="I4" s="30" t="s">
        <v>93</v>
      </c>
      <c r="J4" s="30" t="s">
        <v>94</v>
      </c>
      <c r="K4" s="20" t="s">
        <v>95</v>
      </c>
    </row>
    <row r="5" spans="1:11" x14ac:dyDescent="0.25">
      <c r="A5" t="s">
        <v>96</v>
      </c>
      <c r="B5" t="s">
        <v>97</v>
      </c>
      <c r="C5" s="34">
        <v>2.05</v>
      </c>
      <c r="D5" t="s">
        <v>98</v>
      </c>
      <c r="E5" s="31">
        <v>0</v>
      </c>
      <c r="F5" s="35">
        <v>2.05</v>
      </c>
      <c r="G5" t="s">
        <v>98</v>
      </c>
      <c r="H5" s="36" t="s">
        <v>15</v>
      </c>
      <c r="I5" s="28">
        <v>0</v>
      </c>
      <c r="J5" s="28">
        <f>F5*I5</f>
        <v>0</v>
      </c>
      <c r="K5" t="s">
        <v>15</v>
      </c>
    </row>
    <row r="6" spans="1:11" x14ac:dyDescent="0.25">
      <c r="A6" t="s">
        <v>99</v>
      </c>
      <c r="B6" t="s">
        <v>100</v>
      </c>
      <c r="C6" s="34">
        <v>2.05</v>
      </c>
      <c r="D6" t="s">
        <v>57</v>
      </c>
      <c r="E6" s="31">
        <v>0</v>
      </c>
      <c r="F6" s="35">
        <v>2.05</v>
      </c>
      <c r="G6" t="s">
        <v>57</v>
      </c>
      <c r="H6" s="36" t="s">
        <v>15</v>
      </c>
      <c r="I6" s="28">
        <v>0</v>
      </c>
      <c r="J6" s="28">
        <f>F6*I6</f>
        <v>0</v>
      </c>
      <c r="K6" t="s">
        <v>15</v>
      </c>
    </row>
    <row r="7" spans="1:11" x14ac:dyDescent="0.25">
      <c r="A7" t="s">
        <v>96</v>
      </c>
      <c r="B7" t="s">
        <v>101</v>
      </c>
      <c r="C7" s="34">
        <v>0.01</v>
      </c>
      <c r="D7" t="s">
        <v>57</v>
      </c>
      <c r="E7" s="31">
        <v>0</v>
      </c>
      <c r="F7" s="35">
        <v>0.01</v>
      </c>
      <c r="G7" t="s">
        <v>57</v>
      </c>
      <c r="H7" s="36" t="s">
        <v>15</v>
      </c>
      <c r="I7" s="28">
        <v>0</v>
      </c>
      <c r="J7" s="28">
        <f>F7*I7</f>
        <v>0</v>
      </c>
      <c r="K7" t="s">
        <v>15</v>
      </c>
    </row>
    <row r="8" spans="1:11" x14ac:dyDescent="0.25">
      <c r="A8" t="s">
        <v>96</v>
      </c>
      <c r="B8" t="s">
        <v>101</v>
      </c>
      <c r="C8" s="34">
        <v>5.33</v>
      </c>
      <c r="D8" t="s">
        <v>43</v>
      </c>
      <c r="E8" s="31">
        <v>0</v>
      </c>
      <c r="F8" s="35">
        <v>5.33</v>
      </c>
      <c r="G8" t="s">
        <v>43</v>
      </c>
      <c r="H8" s="36" t="s">
        <v>15</v>
      </c>
      <c r="I8" s="28">
        <v>0</v>
      </c>
      <c r="J8" s="28">
        <f>F8*I8</f>
        <v>0</v>
      </c>
      <c r="K8" t="s">
        <v>15</v>
      </c>
    </row>
    <row r="9" spans="1:11" x14ac:dyDescent="0.25">
      <c r="A9" t="s">
        <v>96</v>
      </c>
      <c r="B9" t="s">
        <v>102</v>
      </c>
      <c r="C9" s="34">
        <v>0.32</v>
      </c>
      <c r="D9" t="s">
        <v>57</v>
      </c>
      <c r="E9" s="31">
        <v>0</v>
      </c>
      <c r="F9" s="35">
        <v>0.32</v>
      </c>
      <c r="G9" t="s">
        <v>57</v>
      </c>
      <c r="H9" s="36" t="s">
        <v>15</v>
      </c>
      <c r="I9" s="28">
        <v>0</v>
      </c>
      <c r="J9" s="28">
        <f>F9*I9</f>
        <v>0</v>
      </c>
      <c r="K9" t="s">
        <v>15</v>
      </c>
    </row>
    <row r="10" spans="1:11" x14ac:dyDescent="0.25">
      <c r="A10" t="s">
        <v>96</v>
      </c>
      <c r="B10" t="s">
        <v>103</v>
      </c>
      <c r="C10" s="34">
        <v>8.94</v>
      </c>
      <c r="D10" t="s">
        <v>98</v>
      </c>
      <c r="E10" s="31">
        <v>0</v>
      </c>
      <c r="F10" s="35">
        <v>8.94</v>
      </c>
      <c r="G10" t="s">
        <v>98</v>
      </c>
      <c r="H10" s="36" t="s">
        <v>15</v>
      </c>
      <c r="I10" s="28">
        <v>0</v>
      </c>
      <c r="J10" s="28">
        <f>F10*I10</f>
        <v>0</v>
      </c>
      <c r="K10" t="s">
        <v>15</v>
      </c>
    </row>
    <row r="11" spans="2:10" s="37" customFormat="1" x14ac:dyDescent="0.25">
      <c r="B11" s="37" t="s">
        <v>104</v>
      </c>
      <c r="J11" s="38">
        <f>SUM(J5:J10)</f>
      </c>
    </row>
  </sheetData>
  <mergeCells count="2">
    <mergeCell ref="A1:K1"/>
    <mergeCell ref="A2:K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16" customWidth="1"/>
    <col min="4" max="4" width="44" customWidth="1"/>
    <col min="5" max="6" width="26" customWidth="1"/>
  </cols>
  <sheetData>
    <row r="1" spans="1:6" x14ac:dyDescent="0.25">
      <c r="A1" s="1" t="s">
        <v>105</v>
      </c>
      <c r="B1" s="1"/>
      <c r="C1" s="1"/>
      <c r="D1" s="1"/>
      <c r="E1" s="1"/>
      <c r="F1" s="1"/>
    </row>
    <row r="2" spans="1:6" x14ac:dyDescent="0.25">
      <c r="A2" s="29" t="s">
        <v>106</v>
      </c>
      <c r="B2" s="29"/>
      <c r="C2" s="29"/>
      <c r="D2" s="29"/>
      <c r="E2" s="29"/>
      <c r="F2" s="29"/>
    </row>
    <row r="4" spans="1:6" s="27" customFormat="1" x14ac:dyDescent="0.25">
      <c r="A4" s="20" t="s">
        <v>107</v>
      </c>
      <c r="B4" s="20" t="s">
        <v>108</v>
      </c>
      <c r="C4" s="20" t="s">
        <v>109</v>
      </c>
      <c r="D4" s="20" t="s">
        <v>2</v>
      </c>
      <c r="E4" s="20" t="s">
        <v>110</v>
      </c>
      <c r="F4" s="20" t="s">
        <v>111</v>
      </c>
    </row>
    <row r="5" spans="1:6" x14ac:dyDescent="0.25">
      <c r="A5" s="39">
        <v>46309.21133011574</v>
      </c>
      <c r="B5" t="s">
        <v>112</v>
      </c>
      <c r="C5" t="s">
        <v>113</v>
      </c>
      <c r="D5" t="s">
        <v>114</v>
      </c>
      <c r="E5" t="s">
        <v>101</v>
      </c>
      <c r="F5" t="s">
        <v>103</v>
      </c>
    </row>
    <row r="6" spans="1:6" x14ac:dyDescent="0.25">
      <c r="A6" s="39">
        <v>46309.21133011574</v>
      </c>
      <c r="B6" t="s">
        <v>112</v>
      </c>
      <c r="C6" t="s">
        <v>115</v>
      </c>
      <c r="D6" t="s">
        <v>24</v>
      </c>
      <c r="E6" t="s">
        <v>15</v>
      </c>
      <c r="F6" t="s">
        <v>116</v>
      </c>
    </row>
    <row r="7" spans="1:6" x14ac:dyDescent="0.25">
      <c r="A7" s="39">
        <v>46309.21128664352</v>
      </c>
      <c r="B7" t="s">
        <v>112</v>
      </c>
      <c r="C7" t="s">
        <v>115</v>
      </c>
      <c r="D7" t="s">
        <v>114</v>
      </c>
      <c r="E7" t="s">
        <v>15</v>
      </c>
      <c r="F7" t="s">
        <v>117</v>
      </c>
    </row>
    <row r="8" spans="1:6" x14ac:dyDescent="0.25">
      <c r="A8" s="39">
        <v>46309.21128664352</v>
      </c>
      <c r="B8" t="s">
        <v>112</v>
      </c>
      <c r="C8" t="s">
        <v>115</v>
      </c>
      <c r="D8" t="s">
        <v>24</v>
      </c>
      <c r="E8" t="s">
        <v>15</v>
      </c>
      <c r="F8" t="s">
        <v>116</v>
      </c>
    </row>
    <row r="9" spans="1:6" x14ac:dyDescent="0.25">
      <c r="A9" s="39">
        <v>46309.2111252662</v>
      </c>
      <c r="B9" t="s">
        <v>112</v>
      </c>
      <c r="C9" t="s">
        <v>113</v>
      </c>
      <c r="D9" t="s">
        <v>118</v>
      </c>
      <c r="E9" t="s">
        <v>101</v>
      </c>
      <c r="F9" t="s">
        <v>103</v>
      </c>
    </row>
    <row r="10" spans="1:6" x14ac:dyDescent="0.25">
      <c r="A10" s="39">
        <v>46309.2111252662</v>
      </c>
      <c r="B10" t="s">
        <v>112</v>
      </c>
      <c r="C10" t="s">
        <v>115</v>
      </c>
      <c r="D10" t="s">
        <v>24</v>
      </c>
      <c r="E10" t="s">
        <v>15</v>
      </c>
      <c r="F10" t="s">
        <v>116</v>
      </c>
    </row>
    <row r="11" spans="1:6" x14ac:dyDescent="0.25">
      <c r="A11" s="39">
        <v>46309.211064965275</v>
      </c>
      <c r="B11" t="s">
        <v>112</v>
      </c>
      <c r="C11" t="s">
        <v>115</v>
      </c>
      <c r="D11" t="s">
        <v>24</v>
      </c>
      <c r="E11" t="s">
        <v>15</v>
      </c>
      <c r="F11" t="s">
        <v>116</v>
      </c>
    </row>
    <row r="12" spans="1:6" x14ac:dyDescent="0.25">
      <c r="A12" s="39">
        <v>46309.21104201389</v>
      </c>
      <c r="B12" t="s">
        <v>112</v>
      </c>
      <c r="C12" t="s">
        <v>115</v>
      </c>
      <c r="D12" t="s">
        <v>118</v>
      </c>
      <c r="E12" t="s">
        <v>15</v>
      </c>
      <c r="F12" t="s">
        <v>119</v>
      </c>
    </row>
    <row r="13" spans="1:6" x14ac:dyDescent="0.25">
      <c r="A13" s="39">
        <v>46309.21104201389</v>
      </c>
      <c r="B13" t="s">
        <v>112</v>
      </c>
      <c r="C13" t="s">
        <v>115</v>
      </c>
      <c r="D13" t="s">
        <v>24</v>
      </c>
      <c r="E13" t="s">
        <v>15</v>
      </c>
      <c r="F13" t="s">
        <v>116</v>
      </c>
    </row>
    <row r="14" spans="1:6" x14ac:dyDescent="0.25">
      <c r="A14" s="39">
        <v>46309.21069584491</v>
      </c>
      <c r="B14" t="s">
        <v>112</v>
      </c>
      <c r="C14" t="s">
        <v>120</v>
      </c>
      <c r="D14" t="s">
        <v>118</v>
      </c>
      <c r="E14" t="s">
        <v>121</v>
      </c>
      <c r="F14" t="s">
        <v>15</v>
      </c>
    </row>
    <row r="15" spans="1:6" x14ac:dyDescent="0.25">
      <c r="A15" s="39">
        <v>46309.21069584491</v>
      </c>
      <c r="B15" t="s">
        <v>112</v>
      </c>
      <c r="C15" t="s">
        <v>115</v>
      </c>
      <c r="D15" t="s">
        <v>24</v>
      </c>
      <c r="E15" t="s">
        <v>15</v>
      </c>
      <c r="F15" t="s">
        <v>116</v>
      </c>
    </row>
    <row r="16" spans="1:6" x14ac:dyDescent="0.25">
      <c r="A16" s="39">
        <v>46309.20982377315</v>
      </c>
      <c r="B16" t="s">
        <v>112</v>
      </c>
      <c r="C16" t="s">
        <v>115</v>
      </c>
      <c r="D16" t="s">
        <v>24</v>
      </c>
      <c r="E16" t="s">
        <v>15</v>
      </c>
      <c r="F16" t="s">
        <v>116</v>
      </c>
    </row>
    <row r="17" spans="1:6" x14ac:dyDescent="0.25">
      <c r="A17" s="39">
        <v>46309.20973188657</v>
      </c>
      <c r="B17" t="s">
        <v>112</v>
      </c>
      <c r="C17" t="s">
        <v>122</v>
      </c>
      <c r="D17" t="s">
        <v>118</v>
      </c>
      <c r="E17" t="s">
        <v>123</v>
      </c>
      <c r="F17" t="s">
        <v>121</v>
      </c>
    </row>
    <row r="18" spans="1:6" x14ac:dyDescent="0.25">
      <c r="A18" s="39">
        <v>46309.20973188657</v>
      </c>
      <c r="B18" t="s">
        <v>112</v>
      </c>
      <c r="C18" t="s">
        <v>115</v>
      </c>
      <c r="D18" t="s">
        <v>24</v>
      </c>
      <c r="E18" t="s">
        <v>15</v>
      </c>
      <c r="F18" t="s">
        <v>116</v>
      </c>
    </row>
    <row r="19" spans="1:6" x14ac:dyDescent="0.25">
      <c r="A19" s="39">
        <v>46309.209508368054</v>
      </c>
      <c r="B19" t="s">
        <v>112</v>
      </c>
      <c r="C19" t="s">
        <v>124</v>
      </c>
      <c r="D19" t="s">
        <v>118</v>
      </c>
      <c r="E19" t="s">
        <v>125</v>
      </c>
      <c r="F19" t="s">
        <v>118</v>
      </c>
    </row>
    <row r="20" spans="1:6" x14ac:dyDescent="0.25">
      <c r="A20" s="39">
        <v>46309.20982377315</v>
      </c>
      <c r="B20" t="s">
        <v>112</v>
      </c>
      <c r="C20" t="s">
        <v>113</v>
      </c>
      <c r="D20" t="s">
        <v>118</v>
      </c>
      <c r="E20" t="s">
        <v>126</v>
      </c>
      <c r="F20" t="s">
        <v>103</v>
      </c>
    </row>
    <row r="21" spans="1:6" x14ac:dyDescent="0.25">
      <c r="A21" s="39">
        <v>46309.209508368054</v>
      </c>
      <c r="B21" t="s">
        <v>112</v>
      </c>
      <c r="C21" t="s">
        <v>115</v>
      </c>
      <c r="D21" t="s">
        <v>24</v>
      </c>
      <c r="E21" t="s">
        <v>15</v>
      </c>
      <c r="F21" t="s">
        <v>116</v>
      </c>
    </row>
    <row r="22" spans="1:6" x14ac:dyDescent="0.25">
      <c r="A22" s="39">
        <v>46309.20944251158</v>
      </c>
      <c r="B22" t="s">
        <v>112</v>
      </c>
      <c r="C22" t="s">
        <v>115</v>
      </c>
      <c r="D22" t="s">
        <v>125</v>
      </c>
      <c r="E22" t="s">
        <v>15</v>
      </c>
      <c r="F22" t="s">
        <v>123</v>
      </c>
    </row>
    <row r="23" spans="1:6" x14ac:dyDescent="0.25">
      <c r="A23" s="39">
        <v>46309.20944251158</v>
      </c>
      <c r="B23" t="s">
        <v>112</v>
      </c>
      <c r="C23" t="s">
        <v>115</v>
      </c>
      <c r="D23" t="s">
        <v>24</v>
      </c>
      <c r="E23" t="s">
        <v>15</v>
      </c>
      <c r="F23" t="s">
        <v>116</v>
      </c>
    </row>
    <row r="24" spans="1:6" x14ac:dyDescent="0.25">
      <c r="A24" s="39">
        <v>46309.20936768518</v>
      </c>
      <c r="B24" t="s">
        <v>112</v>
      </c>
      <c r="C24" t="s">
        <v>115</v>
      </c>
      <c r="D24" t="s">
        <v>24</v>
      </c>
      <c r="E24" t="s">
        <v>15</v>
      </c>
      <c r="F24" t="s">
        <v>116</v>
      </c>
    </row>
    <row r="25" spans="1:6" x14ac:dyDescent="0.25">
      <c r="A25" s="39">
        <v>46309.20828314815</v>
      </c>
      <c r="B25" t="s">
        <v>112</v>
      </c>
      <c r="C25" t="s">
        <v>113</v>
      </c>
      <c r="D25" t="s">
        <v>127</v>
      </c>
      <c r="E25" t="s">
        <v>126</v>
      </c>
      <c r="F25" t="s">
        <v>101</v>
      </c>
    </row>
    <row r="26" spans="1:6" x14ac:dyDescent="0.25">
      <c r="A26" s="39">
        <v>46309.20828314815</v>
      </c>
      <c r="B26" t="s">
        <v>112</v>
      </c>
      <c r="C26" t="s">
        <v>115</v>
      </c>
      <c r="D26" t="s">
        <v>24</v>
      </c>
      <c r="E26" t="s">
        <v>15</v>
      </c>
      <c r="F26" t="s">
        <v>116</v>
      </c>
    </row>
    <row r="27" spans="1:6" x14ac:dyDescent="0.25">
      <c r="A27" s="39">
        <v>46309.20820443287</v>
      </c>
      <c r="B27" t="s">
        <v>112</v>
      </c>
      <c r="C27" t="s">
        <v>115</v>
      </c>
      <c r="D27" t="s">
        <v>127</v>
      </c>
      <c r="E27" t="s">
        <v>15</v>
      </c>
      <c r="F27" t="s">
        <v>128</v>
      </c>
    </row>
    <row r="28" spans="1:6" x14ac:dyDescent="0.25">
      <c r="A28" s="39">
        <v>46309.20820443287</v>
      </c>
      <c r="B28" t="s">
        <v>112</v>
      </c>
      <c r="C28" t="s">
        <v>115</v>
      </c>
      <c r="D28" t="s">
        <v>24</v>
      </c>
      <c r="E28" t="s">
        <v>15</v>
      </c>
      <c r="F28" t="s">
        <v>116</v>
      </c>
    </row>
    <row r="29" spans="1:6" x14ac:dyDescent="0.25">
      <c r="A29" s="39">
        <v>46309.20791869213</v>
      </c>
      <c r="B29" t="s">
        <v>112</v>
      </c>
      <c r="C29" t="s">
        <v>115</v>
      </c>
      <c r="D29" t="s">
        <v>36</v>
      </c>
      <c r="E29" t="s">
        <v>15</v>
      </c>
      <c r="F29" t="s">
        <v>116</v>
      </c>
    </row>
    <row r="30" spans="1:6" x14ac:dyDescent="0.25">
      <c r="A30" s="39">
        <v>46309.20791869213</v>
      </c>
      <c r="B30" t="s">
        <v>112</v>
      </c>
      <c r="C30" t="s">
        <v>115</v>
      </c>
      <c r="D30" t="s">
        <v>24</v>
      </c>
      <c r="E30" t="s">
        <v>15</v>
      </c>
      <c r="F30" t="s">
        <v>116</v>
      </c>
    </row>
    <row r="31" spans="1:6" x14ac:dyDescent="0.25">
      <c r="A31" s="39">
        <v>46309.203997268516</v>
      </c>
      <c r="B31" t="s">
        <v>112</v>
      </c>
      <c r="C31" t="s">
        <v>120</v>
      </c>
      <c r="D31" t="s">
        <v>129</v>
      </c>
      <c r="E31" t="s">
        <v>130</v>
      </c>
      <c r="F31" t="s">
        <v>15</v>
      </c>
    </row>
    <row r="32" spans="1:6" x14ac:dyDescent="0.25">
      <c r="A32" s="39">
        <v>46309.203997268516</v>
      </c>
      <c r="B32" t="s">
        <v>112</v>
      </c>
      <c r="C32" t="s">
        <v>120</v>
      </c>
      <c r="D32" t="s">
        <v>131</v>
      </c>
      <c r="E32" t="s">
        <v>116</v>
      </c>
      <c r="F32" t="s">
        <v>15</v>
      </c>
    </row>
    <row r="33" spans="1:6" x14ac:dyDescent="0.25">
      <c r="A33" s="39">
        <v>46309.203997268516</v>
      </c>
      <c r="B33" t="s">
        <v>112</v>
      </c>
      <c r="C33" t="s">
        <v>115</v>
      </c>
      <c r="D33" t="s">
        <v>24</v>
      </c>
      <c r="E33" t="s">
        <v>15</v>
      </c>
      <c r="F33" t="s">
        <v>116</v>
      </c>
    </row>
    <row r="34" spans="1:6" x14ac:dyDescent="0.25">
      <c r="A34" s="39">
        <v>46309.203945891204</v>
      </c>
      <c r="B34" t="s">
        <v>112</v>
      </c>
      <c r="C34" t="s">
        <v>115</v>
      </c>
      <c r="D34" t="s">
        <v>129</v>
      </c>
      <c r="E34" t="s">
        <v>15</v>
      </c>
      <c r="F34" t="s">
        <v>130</v>
      </c>
    </row>
    <row r="35" spans="1:6" x14ac:dyDescent="0.25">
      <c r="A35" s="39">
        <v>46309.203945891204</v>
      </c>
      <c r="B35" t="s">
        <v>112</v>
      </c>
      <c r="C35" t="s">
        <v>115</v>
      </c>
      <c r="D35" t="s">
        <v>131</v>
      </c>
      <c r="E35" t="s">
        <v>15</v>
      </c>
      <c r="F35" t="s">
        <v>116</v>
      </c>
    </row>
    <row r="36" spans="1:6" x14ac:dyDescent="0.25">
      <c r="A36" s="39">
        <v>46309.203945891204</v>
      </c>
      <c r="B36" t="s">
        <v>112</v>
      </c>
      <c r="C36" t="s">
        <v>115</v>
      </c>
      <c r="D36" t="s">
        <v>24</v>
      </c>
      <c r="E36" t="s">
        <v>15</v>
      </c>
      <c r="F36" t="s">
        <v>116</v>
      </c>
    </row>
    <row r="37" spans="1:6" x14ac:dyDescent="0.25">
      <c r="A37" s="39">
        <v>46309.20375148148</v>
      </c>
      <c r="B37" t="s">
        <v>112</v>
      </c>
      <c r="C37" t="s">
        <v>124</v>
      </c>
      <c r="D37" t="s">
        <v>132</v>
      </c>
      <c r="E37" t="s">
        <v>127</v>
      </c>
      <c r="F37" t="s">
        <v>132</v>
      </c>
    </row>
    <row r="38" spans="1:6" x14ac:dyDescent="0.25">
      <c r="A38" s="39">
        <v>46309.20375148148</v>
      </c>
      <c r="B38" t="s">
        <v>112</v>
      </c>
      <c r="C38" t="s">
        <v>115</v>
      </c>
      <c r="D38" t="s">
        <v>24</v>
      </c>
      <c r="E38" t="s">
        <v>15</v>
      </c>
      <c r="F38" t="s">
        <v>116</v>
      </c>
    </row>
    <row r="39" spans="1:6" x14ac:dyDescent="0.25">
      <c r="A39" s="39">
        <v>46309.20319355324</v>
      </c>
      <c r="B39" t="s">
        <v>112</v>
      </c>
      <c r="C39" t="s">
        <v>120</v>
      </c>
      <c r="D39" t="s">
        <v>127</v>
      </c>
      <c r="E39" t="s">
        <v>133</v>
      </c>
      <c r="F39" t="s">
        <v>15</v>
      </c>
    </row>
    <row r="40" spans="1:6" x14ac:dyDescent="0.25">
      <c r="A40" s="39">
        <v>46309.20319355324</v>
      </c>
      <c r="B40" t="s">
        <v>112</v>
      </c>
      <c r="C40" t="s">
        <v>120</v>
      </c>
      <c r="D40" t="s">
        <v>36</v>
      </c>
      <c r="E40" t="s">
        <v>116</v>
      </c>
      <c r="F40" t="s">
        <v>15</v>
      </c>
    </row>
    <row r="41" spans="1:6" x14ac:dyDescent="0.25">
      <c r="A41" s="39">
        <v>46309.20319355324</v>
      </c>
      <c r="B41" t="s">
        <v>112</v>
      </c>
      <c r="C41" t="s">
        <v>115</v>
      </c>
      <c r="D41" t="s">
        <v>24</v>
      </c>
      <c r="E41" t="s">
        <v>15</v>
      </c>
      <c r="F41" t="s">
        <v>116</v>
      </c>
    </row>
    <row r="42" spans="1:6" x14ac:dyDescent="0.25">
      <c r="A42" s="39">
        <v>46309.20267092592</v>
      </c>
      <c r="B42" t="s">
        <v>112</v>
      </c>
      <c r="C42" t="s">
        <v>113</v>
      </c>
      <c r="D42" t="s">
        <v>127</v>
      </c>
      <c r="E42" t="s">
        <v>126</v>
      </c>
      <c r="F42" t="s">
        <v>101</v>
      </c>
    </row>
    <row r="43" spans="1:6" x14ac:dyDescent="0.25">
      <c r="A43" s="39">
        <v>46309.20267092592</v>
      </c>
      <c r="B43" t="s">
        <v>112</v>
      </c>
      <c r="C43" t="s">
        <v>115</v>
      </c>
      <c r="D43" t="s">
        <v>24</v>
      </c>
      <c r="E43" t="s">
        <v>15</v>
      </c>
      <c r="F43" t="s">
        <v>116</v>
      </c>
    </row>
    <row r="44" spans="1:6" x14ac:dyDescent="0.25">
      <c r="A44" s="39">
        <v>46309.20261731482</v>
      </c>
      <c r="B44" t="s">
        <v>112</v>
      </c>
      <c r="C44" t="s">
        <v>115</v>
      </c>
      <c r="D44" t="s">
        <v>127</v>
      </c>
      <c r="E44" t="s">
        <v>15</v>
      </c>
      <c r="F44" t="s">
        <v>130</v>
      </c>
    </row>
    <row r="45" spans="1:6" x14ac:dyDescent="0.25">
      <c r="A45" s="39">
        <v>46309.20261731482</v>
      </c>
      <c r="B45" t="s">
        <v>112</v>
      </c>
      <c r="C45" t="s">
        <v>115</v>
      </c>
      <c r="D45" t="s">
        <v>24</v>
      </c>
      <c r="E45" t="s">
        <v>15</v>
      </c>
      <c r="F45" t="s">
        <v>116</v>
      </c>
    </row>
    <row r="46" spans="1:6" x14ac:dyDescent="0.25">
      <c r="A46" s="39">
        <v>46309.202580185185</v>
      </c>
      <c r="B46" t="s">
        <v>112</v>
      </c>
      <c r="C46" t="s">
        <v>115</v>
      </c>
      <c r="D46" t="s">
        <v>24</v>
      </c>
      <c r="E46" t="s">
        <v>15</v>
      </c>
      <c r="F46" t="s">
        <v>116</v>
      </c>
    </row>
    <row r="47" spans="1:6" x14ac:dyDescent="0.25">
      <c r="A47" s="39">
        <v>46309.2024971412</v>
      </c>
      <c r="B47" t="s">
        <v>112</v>
      </c>
      <c r="C47" t="s">
        <v>115</v>
      </c>
      <c r="D47" t="s">
        <v>24</v>
      </c>
      <c r="E47" t="s">
        <v>15</v>
      </c>
      <c r="F47" t="s">
        <v>116</v>
      </c>
    </row>
    <row r="48" spans="1:6" x14ac:dyDescent="0.25">
      <c r="A48" s="39">
        <v>46309.20242327546</v>
      </c>
      <c r="B48" t="s">
        <v>112</v>
      </c>
      <c r="C48" t="s">
        <v>115</v>
      </c>
      <c r="D48" t="s">
        <v>36</v>
      </c>
      <c r="E48" t="s">
        <v>15</v>
      </c>
      <c r="F48" t="s">
        <v>116</v>
      </c>
    </row>
    <row r="49" spans="1:6" x14ac:dyDescent="0.25">
      <c r="A49" s="39">
        <v>46309.20242327546</v>
      </c>
      <c r="B49" t="s">
        <v>112</v>
      </c>
      <c r="C49" t="s">
        <v>115</v>
      </c>
      <c r="D49" t="s">
        <v>24</v>
      </c>
      <c r="E49" t="s">
        <v>15</v>
      </c>
      <c r="F49" t="s">
        <v>116</v>
      </c>
    </row>
    <row r="50" spans="1:6" x14ac:dyDescent="0.25">
      <c r="A50" s="39">
        <v>46309.20171003472</v>
      </c>
      <c r="B50" t="s">
        <v>112</v>
      </c>
      <c r="C50" t="s">
        <v>120</v>
      </c>
      <c r="D50" t="s">
        <v>134</v>
      </c>
      <c r="E50" t="s">
        <v>130</v>
      </c>
      <c r="F50" t="s">
        <v>15</v>
      </c>
    </row>
    <row r="51" spans="1:6" x14ac:dyDescent="0.25">
      <c r="A51" s="39">
        <v>46309.20171003472</v>
      </c>
      <c r="B51" t="s">
        <v>112</v>
      </c>
      <c r="C51" t="s">
        <v>115</v>
      </c>
      <c r="D51" t="s">
        <v>24</v>
      </c>
      <c r="E51" t="s">
        <v>15</v>
      </c>
      <c r="F51" t="s">
        <v>116</v>
      </c>
    </row>
    <row r="52" spans="1:6" x14ac:dyDescent="0.25">
      <c r="A52" s="39">
        <v>46309.201491203705</v>
      </c>
      <c r="B52" t="s">
        <v>112</v>
      </c>
      <c r="C52" t="s">
        <v>115</v>
      </c>
      <c r="D52" t="s">
        <v>134</v>
      </c>
      <c r="E52" t="s">
        <v>15</v>
      </c>
      <c r="F52" t="s">
        <v>130</v>
      </c>
    </row>
    <row r="53" spans="1:6" x14ac:dyDescent="0.25">
      <c r="A53" s="39">
        <v>46309.201491203705</v>
      </c>
      <c r="B53" t="s">
        <v>112</v>
      </c>
      <c r="C53" t="s">
        <v>115</v>
      </c>
      <c r="D53" t="s">
        <v>24</v>
      </c>
      <c r="E53" t="s">
        <v>15</v>
      </c>
      <c r="F53" t="s">
        <v>116</v>
      </c>
    </row>
    <row r="54" spans="1:6" x14ac:dyDescent="0.25">
      <c r="A54" s="39">
        <v>46309.20116353009</v>
      </c>
      <c r="B54" t="s">
        <v>112</v>
      </c>
      <c r="C54" t="s">
        <v>113</v>
      </c>
      <c r="D54" t="s">
        <v>127</v>
      </c>
      <c r="E54" t="s">
        <v>126</v>
      </c>
      <c r="F54" t="s">
        <v>101</v>
      </c>
    </row>
    <row r="55" spans="1:6" x14ac:dyDescent="0.25">
      <c r="A55" s="39">
        <v>46309.201080011575</v>
      </c>
      <c r="B55" t="s">
        <v>112</v>
      </c>
      <c r="C55" t="s">
        <v>115</v>
      </c>
      <c r="D55" t="s">
        <v>127</v>
      </c>
      <c r="E55" t="s">
        <v>15</v>
      </c>
      <c r="F55" t="s">
        <v>133</v>
      </c>
    </row>
    <row r="56" spans="1:6" x14ac:dyDescent="0.25">
      <c r="A56" s="39">
        <v>46309.200797708334</v>
      </c>
      <c r="B56" t="s">
        <v>112</v>
      </c>
      <c r="C56" t="s">
        <v>115</v>
      </c>
      <c r="D56" t="s">
        <v>36</v>
      </c>
      <c r="E56" t="s">
        <v>15</v>
      </c>
      <c r="F56" t="s">
        <v>116</v>
      </c>
    </row>
    <row r="57" spans="1:6" x14ac:dyDescent="0.25">
      <c r="A57" s="39">
        <v>46309.19989063658</v>
      </c>
      <c r="B57" t="s">
        <v>112</v>
      </c>
      <c r="C57" t="s">
        <v>113</v>
      </c>
      <c r="D57" t="s">
        <v>135</v>
      </c>
      <c r="E57" t="s">
        <v>126</v>
      </c>
      <c r="F57" t="s">
        <v>103</v>
      </c>
    </row>
    <row r="58" spans="1:6" x14ac:dyDescent="0.25">
      <c r="A58" s="39">
        <v>46309.199785254634</v>
      </c>
      <c r="B58" t="s">
        <v>112</v>
      </c>
      <c r="C58" t="s">
        <v>115</v>
      </c>
      <c r="D58" t="s">
        <v>135</v>
      </c>
      <c r="E58" t="s">
        <v>15</v>
      </c>
      <c r="F58" t="s">
        <v>136</v>
      </c>
    </row>
    <row r="59" spans="1:6" x14ac:dyDescent="0.25">
      <c r="A59" s="39">
        <v>46309.19948119213</v>
      </c>
      <c r="B59" t="s">
        <v>112</v>
      </c>
      <c r="C59" t="s">
        <v>113</v>
      </c>
      <c r="D59" t="s">
        <v>137</v>
      </c>
      <c r="E59" t="s">
        <v>126</v>
      </c>
      <c r="F59" t="s">
        <v>102</v>
      </c>
    </row>
    <row r="60" spans="1:6" x14ac:dyDescent="0.25">
      <c r="A60" s="39">
        <v>46309.199028229166</v>
      </c>
      <c r="B60" t="s">
        <v>112</v>
      </c>
      <c r="C60" t="s">
        <v>115</v>
      </c>
      <c r="D60" t="s">
        <v>137</v>
      </c>
      <c r="E60" t="s">
        <v>15</v>
      </c>
      <c r="F60" t="s">
        <v>138</v>
      </c>
    </row>
    <row r="61" spans="1:6" x14ac:dyDescent="0.25">
      <c r="A61" s="39">
        <v>46309.19820778935</v>
      </c>
      <c r="B61" t="s">
        <v>112</v>
      </c>
      <c r="C61" t="s">
        <v>122</v>
      </c>
      <c r="D61" t="s">
        <v>13</v>
      </c>
      <c r="E61" t="s">
        <v>139</v>
      </c>
      <c r="F61" t="s">
        <v>140</v>
      </c>
    </row>
    <row r="62" spans="1:6" x14ac:dyDescent="0.25">
      <c r="A62" s="39">
        <v>46309.19790584491</v>
      </c>
      <c r="B62" t="s">
        <v>112</v>
      </c>
      <c r="C62" t="s">
        <v>113</v>
      </c>
      <c r="D62" t="s">
        <v>141</v>
      </c>
      <c r="E62" t="s">
        <v>126</v>
      </c>
      <c r="F62" t="s">
        <v>103</v>
      </c>
    </row>
    <row r="63" spans="1:6" x14ac:dyDescent="0.25">
      <c r="A63" s="39">
        <v>46309.19778832176</v>
      </c>
      <c r="B63" t="s">
        <v>112</v>
      </c>
      <c r="C63" t="s">
        <v>115</v>
      </c>
      <c r="D63" t="s">
        <v>141</v>
      </c>
      <c r="E63" t="s">
        <v>15</v>
      </c>
      <c r="F63" t="s">
        <v>142</v>
      </c>
    </row>
    <row r="64" spans="1:6" x14ac:dyDescent="0.25">
      <c r="A64" s="39">
        <v>46309.197476030095</v>
      </c>
      <c r="B64" t="s">
        <v>112</v>
      </c>
      <c r="C64" t="s">
        <v>120</v>
      </c>
      <c r="D64" t="s">
        <v>143</v>
      </c>
      <c r="E64" t="s">
        <v>144</v>
      </c>
      <c r="F64" t="s">
        <v>15</v>
      </c>
    </row>
    <row r="65" spans="1:6" x14ac:dyDescent="0.25">
      <c r="A65" s="39">
        <v>46309.197476030095</v>
      </c>
      <c r="B65" t="s">
        <v>112</v>
      </c>
      <c r="C65" t="s">
        <v>120</v>
      </c>
      <c r="D65" t="s">
        <v>145</v>
      </c>
      <c r="E65" t="s">
        <v>116</v>
      </c>
      <c r="F65" t="s">
        <v>15</v>
      </c>
    </row>
    <row r="66" spans="1:6" x14ac:dyDescent="0.25">
      <c r="A66" s="39">
        <v>46309.19738684028</v>
      </c>
      <c r="B66" t="s">
        <v>112</v>
      </c>
      <c r="C66" t="s">
        <v>124</v>
      </c>
      <c r="D66" t="s">
        <v>143</v>
      </c>
      <c r="E66" t="s">
        <v>146</v>
      </c>
      <c r="F66" t="s">
        <v>143</v>
      </c>
    </row>
    <row r="67" spans="1:6" x14ac:dyDescent="0.25">
      <c r="A67" s="39">
        <v>46309.197108252316</v>
      </c>
      <c r="B67" t="s">
        <v>112</v>
      </c>
      <c r="C67" t="s">
        <v>115</v>
      </c>
      <c r="D67" t="s">
        <v>146</v>
      </c>
      <c r="E67" t="s">
        <v>15</v>
      </c>
      <c r="F67" t="s">
        <v>144</v>
      </c>
    </row>
    <row r="68" spans="1:6" x14ac:dyDescent="0.25">
      <c r="A68" s="39">
        <v>46309.197108252316</v>
      </c>
      <c r="B68" t="s">
        <v>112</v>
      </c>
      <c r="C68" t="s">
        <v>115</v>
      </c>
      <c r="D68" t="s">
        <v>145</v>
      </c>
      <c r="E68" t="s">
        <v>15</v>
      </c>
      <c r="F68" t="s">
        <v>116</v>
      </c>
    </row>
    <row r="69" spans="1:6" x14ac:dyDescent="0.25">
      <c r="A69" s="39">
        <v>46309.19701556713</v>
      </c>
      <c r="B69" t="s">
        <v>112</v>
      </c>
      <c r="C69" t="s">
        <v>120</v>
      </c>
      <c r="D69" t="s">
        <v>145</v>
      </c>
      <c r="E69" t="s">
        <v>116</v>
      </c>
      <c r="F69" t="s">
        <v>15</v>
      </c>
    </row>
    <row r="70" spans="1:6" x14ac:dyDescent="0.25">
      <c r="A70" s="39">
        <v>46309.19697179398</v>
      </c>
      <c r="B70" t="s">
        <v>112</v>
      </c>
      <c r="C70" t="s">
        <v>115</v>
      </c>
      <c r="D70" t="s">
        <v>145</v>
      </c>
      <c r="E70" t="s">
        <v>15</v>
      </c>
      <c r="F70" t="s">
        <v>116</v>
      </c>
    </row>
    <row r="71" spans="1:6" x14ac:dyDescent="0.25">
      <c r="A71" s="39">
        <v>46309.196250671295</v>
      </c>
      <c r="B71" t="s">
        <v>112</v>
      </c>
      <c r="C71" t="s">
        <v>113</v>
      </c>
      <c r="D71" t="s">
        <v>143</v>
      </c>
      <c r="E71" t="s">
        <v>126</v>
      </c>
      <c r="F71" t="s">
        <v>97</v>
      </c>
    </row>
    <row r="72" spans="1:6" x14ac:dyDescent="0.25">
      <c r="A72" s="39">
        <v>46309.19619141203</v>
      </c>
      <c r="B72" t="s">
        <v>112</v>
      </c>
      <c r="C72" t="s">
        <v>124</v>
      </c>
      <c r="D72" t="s">
        <v>143</v>
      </c>
      <c r="E72" t="s">
        <v>134</v>
      </c>
      <c r="F72" t="s">
        <v>143</v>
      </c>
    </row>
    <row r="73" spans="1:6" x14ac:dyDescent="0.25">
      <c r="A73" s="39">
        <v>46309.19554528935</v>
      </c>
      <c r="B73" t="s">
        <v>112</v>
      </c>
      <c r="C73" t="s">
        <v>122</v>
      </c>
      <c r="D73" t="s">
        <v>13</v>
      </c>
      <c r="E73" t="s">
        <v>147</v>
      </c>
      <c r="F73" t="s">
        <v>139</v>
      </c>
    </row>
    <row r="74" spans="1:6" x14ac:dyDescent="0.25">
      <c r="A74" s="39">
        <v>46309.19540546296</v>
      </c>
      <c r="B74" t="s">
        <v>112</v>
      </c>
      <c r="C74" t="s">
        <v>122</v>
      </c>
      <c r="D74" t="s">
        <v>148</v>
      </c>
      <c r="E74" t="s">
        <v>147</v>
      </c>
      <c r="F74" t="s">
        <v>139</v>
      </c>
    </row>
    <row r="75" spans="1:6" x14ac:dyDescent="0.25">
      <c r="A75" s="39">
        <v>46309.19515622685</v>
      </c>
      <c r="B75" t="s">
        <v>112</v>
      </c>
      <c r="C75" t="s">
        <v>115</v>
      </c>
      <c r="D75" t="s">
        <v>134</v>
      </c>
      <c r="E75" t="s">
        <v>15</v>
      </c>
      <c r="F75" t="s">
        <v>144</v>
      </c>
    </row>
    <row r="76" spans="1:6" x14ac:dyDescent="0.25">
      <c r="A76" s="39">
        <v>46309.19479706019</v>
      </c>
      <c r="B76" t="s">
        <v>112</v>
      </c>
      <c r="C76" t="s">
        <v>115</v>
      </c>
      <c r="D76" t="s">
        <v>24</v>
      </c>
      <c r="E76" t="s">
        <v>15</v>
      </c>
      <c r="F76" t="s">
        <v>116</v>
      </c>
    </row>
    <row r="77" spans="1:6" x14ac:dyDescent="0.25">
      <c r="A77" s="39">
        <v>46309.19461640046</v>
      </c>
      <c r="B77" t="s">
        <v>112</v>
      </c>
      <c r="C77" t="s">
        <v>120</v>
      </c>
      <c r="D77" t="s">
        <v>149</v>
      </c>
      <c r="E77" t="s">
        <v>150</v>
      </c>
      <c r="F77" t="s">
        <v>15</v>
      </c>
    </row>
    <row r="78" spans="1:6" x14ac:dyDescent="0.25">
      <c r="A78" s="39">
        <v>46309.19436288194</v>
      </c>
      <c r="B78" t="s">
        <v>112</v>
      </c>
      <c r="C78" t="s">
        <v>113</v>
      </c>
      <c r="D78" t="s">
        <v>149</v>
      </c>
      <c r="E78" t="s">
        <v>126</v>
      </c>
      <c r="F78" t="s">
        <v>97</v>
      </c>
    </row>
    <row r="79" spans="1:6" x14ac:dyDescent="0.25">
      <c r="A79" s="39">
        <v>46309.19375501157</v>
      </c>
      <c r="B79" t="s">
        <v>112</v>
      </c>
      <c r="C79" t="s">
        <v>124</v>
      </c>
      <c r="D79" t="s">
        <v>149</v>
      </c>
      <c r="E79" t="s">
        <v>151</v>
      </c>
      <c r="F79" t="s">
        <v>149</v>
      </c>
    </row>
    <row r="80" spans="1:6" x14ac:dyDescent="0.25">
      <c r="A80" s="39">
        <v>46309.19358965278</v>
      </c>
      <c r="B80" t="s">
        <v>112</v>
      </c>
      <c r="C80" t="s">
        <v>115</v>
      </c>
      <c r="D80" t="s">
        <v>151</v>
      </c>
      <c r="E80" t="s">
        <v>15</v>
      </c>
      <c r="F80" t="s">
        <v>152</v>
      </c>
    </row>
    <row r="81" spans="1:6" x14ac:dyDescent="0.25">
      <c r="A81" s="39">
        <v>46309.19350019676</v>
      </c>
      <c r="B81" t="s">
        <v>112</v>
      </c>
      <c r="C81" t="s">
        <v>153</v>
      </c>
      <c r="D81" t="s">
        <v>13</v>
      </c>
      <c r="E81" t="s">
        <v>154</v>
      </c>
      <c r="F81" t="s">
        <v>155</v>
      </c>
    </row>
    <row r="82" spans="1:6" x14ac:dyDescent="0.25">
      <c r="A82" s="39">
        <v>46309.19311490741</v>
      </c>
      <c r="B82" t="s">
        <v>112</v>
      </c>
      <c r="C82" t="s">
        <v>122</v>
      </c>
      <c r="D82" t="s">
        <v>148</v>
      </c>
      <c r="E82" t="s">
        <v>156</v>
      </c>
      <c r="F82" t="s">
        <v>147</v>
      </c>
    </row>
    <row r="83" spans="1:6" x14ac:dyDescent="0.25">
      <c r="A83" s="39">
        <v>46309.193376678246</v>
      </c>
      <c r="B83" t="s">
        <v>112</v>
      </c>
      <c r="C83" t="s">
        <v>122</v>
      </c>
      <c r="D83" t="s">
        <v>13</v>
      </c>
      <c r="E83" t="s">
        <v>157</v>
      </c>
      <c r="F83" t="s">
        <v>147</v>
      </c>
    </row>
    <row r="84" spans="1:6" x14ac:dyDescent="0.25">
      <c r="A84" s="39">
        <v>46309.18428037037</v>
      </c>
      <c r="B84" t="s">
        <v>112</v>
      </c>
      <c r="C84" t="s">
        <v>113</v>
      </c>
      <c r="D84" t="s">
        <v>13</v>
      </c>
      <c r="E84" t="s">
        <v>100</v>
      </c>
      <c r="F84" t="s">
        <v>103</v>
      </c>
    </row>
    <row r="85" spans="1:6" x14ac:dyDescent="0.25">
      <c r="A85" s="39">
        <v>46309.18413814815</v>
      </c>
      <c r="B85" t="s">
        <v>112</v>
      </c>
      <c r="C85" t="s">
        <v>124</v>
      </c>
      <c r="D85" t="s">
        <v>13</v>
      </c>
      <c r="E85" t="s">
        <v>158</v>
      </c>
      <c r="F85" t="s">
        <v>13</v>
      </c>
    </row>
    <row r="86" spans="1:6" x14ac:dyDescent="0.25">
      <c r="A86" s="39">
        <v>46309.18410480324</v>
      </c>
      <c r="B86" t="s">
        <v>112</v>
      </c>
      <c r="C86" t="s">
        <v>124</v>
      </c>
      <c r="D86" t="s">
        <v>148</v>
      </c>
      <c r="E86" t="s">
        <v>159</v>
      </c>
      <c r="F86" t="s">
        <v>148</v>
      </c>
    </row>
    <row r="87" spans="1:6" x14ac:dyDescent="0.25">
      <c r="A87" s="39">
        <v>46309.183992314815</v>
      </c>
      <c r="B87" t="s">
        <v>112</v>
      </c>
      <c r="C87" t="s">
        <v>115</v>
      </c>
      <c r="D87" t="s">
        <v>158</v>
      </c>
      <c r="E87" t="s">
        <v>15</v>
      </c>
      <c r="F87" t="s">
        <v>157</v>
      </c>
    </row>
    <row r="88" spans="1:6" x14ac:dyDescent="0.25">
      <c r="A88" s="39">
        <v>46309.18347636574</v>
      </c>
      <c r="B88" t="s">
        <v>112</v>
      </c>
      <c r="C88" t="s">
        <v>120</v>
      </c>
      <c r="D88" t="s">
        <v>160</v>
      </c>
      <c r="E88" t="s">
        <v>116</v>
      </c>
      <c r="F88" t="s">
        <v>15</v>
      </c>
    </row>
    <row r="89" spans="1:6" x14ac:dyDescent="0.25">
      <c r="A89" s="39">
        <v>46309.18279694444</v>
      </c>
      <c r="B89" t="s">
        <v>112</v>
      </c>
      <c r="C89" t="s">
        <v>115</v>
      </c>
      <c r="D89" t="s">
        <v>160</v>
      </c>
      <c r="E89" t="s">
        <v>15</v>
      </c>
      <c r="F89" t="s">
        <v>116</v>
      </c>
    </row>
    <row r="90" spans="1:6" x14ac:dyDescent="0.25">
      <c r="A90" s="39">
        <v>46309.18239202547</v>
      </c>
      <c r="B90" t="s">
        <v>112</v>
      </c>
      <c r="C90" t="s">
        <v>115</v>
      </c>
      <c r="D90" t="s">
        <v>159</v>
      </c>
      <c r="E90" t="s">
        <v>15</v>
      </c>
      <c r="F90" t="s">
        <v>156</v>
      </c>
    </row>
    <row r="91" spans="1:6" x14ac:dyDescent="0.25">
      <c r="A91" s="39">
        <v>46309.18197849537</v>
      </c>
      <c r="B91" t="s">
        <v>112</v>
      </c>
      <c r="C91" t="s">
        <v>115</v>
      </c>
      <c r="D91" t="s">
        <v>13</v>
      </c>
      <c r="E91" t="s">
        <v>15</v>
      </c>
      <c r="F91" t="s">
        <v>116</v>
      </c>
    </row>
    <row r="92" spans="1:6" x14ac:dyDescent="0.25">
      <c r="A92" s="39">
        <v>46309.181667372686</v>
      </c>
      <c r="B92" t="s">
        <v>112</v>
      </c>
      <c r="C92" t="s">
        <v>120</v>
      </c>
      <c r="D92" t="s">
        <v>161</v>
      </c>
      <c r="E92" t="s">
        <v>162</v>
      </c>
      <c r="F92" t="s">
        <v>15</v>
      </c>
    </row>
    <row r="93" spans="1:6" x14ac:dyDescent="0.25">
      <c r="A93" s="39">
        <v>46309.181667372686</v>
      </c>
      <c r="B93" t="s">
        <v>112</v>
      </c>
      <c r="C93" t="s">
        <v>120</v>
      </c>
      <c r="D93" t="s">
        <v>163</v>
      </c>
      <c r="E93" t="s">
        <v>116</v>
      </c>
      <c r="F93" t="s">
        <v>15</v>
      </c>
    </row>
    <row r="94" spans="1:6" x14ac:dyDescent="0.25">
      <c r="A94" s="39">
        <v>46309.1816421875</v>
      </c>
      <c r="B94" t="s">
        <v>112</v>
      </c>
      <c r="C94" t="s">
        <v>120</v>
      </c>
      <c r="D94" t="s">
        <v>164</v>
      </c>
      <c r="E94" t="s">
        <v>162</v>
      </c>
      <c r="F94" t="s">
        <v>15</v>
      </c>
    </row>
    <row r="95" spans="1:6" x14ac:dyDescent="0.25">
      <c r="A95" s="39">
        <v>46309.1816421875</v>
      </c>
      <c r="B95" t="s">
        <v>112</v>
      </c>
      <c r="C95" t="s">
        <v>120</v>
      </c>
      <c r="D95" t="s">
        <v>165</v>
      </c>
      <c r="E95" t="s">
        <v>116</v>
      </c>
      <c r="F95" t="s">
        <v>15</v>
      </c>
    </row>
    <row r="96" spans="1:6" x14ac:dyDescent="0.25">
      <c r="A96" s="39">
        <v>46309.181612685185</v>
      </c>
      <c r="B96" t="s">
        <v>112</v>
      </c>
      <c r="C96" t="s">
        <v>120</v>
      </c>
      <c r="D96" t="s">
        <v>166</v>
      </c>
      <c r="E96" t="s">
        <v>167</v>
      </c>
      <c r="F96" t="s">
        <v>15</v>
      </c>
    </row>
    <row r="97" spans="1:6" x14ac:dyDescent="0.25">
      <c r="A97" s="39">
        <v>46309.181612685185</v>
      </c>
      <c r="B97" t="s">
        <v>112</v>
      </c>
      <c r="C97" t="s">
        <v>120</v>
      </c>
      <c r="D97" t="s">
        <v>168</v>
      </c>
      <c r="E97" t="s">
        <v>116</v>
      </c>
      <c r="F97" t="s">
        <v>15</v>
      </c>
    </row>
    <row r="98" spans="1:6" x14ac:dyDescent="0.25">
      <c r="A98" s="39">
        <v>46309.18156684028</v>
      </c>
      <c r="B98" t="s">
        <v>112</v>
      </c>
      <c r="C98" t="s">
        <v>120</v>
      </c>
      <c r="D98" t="s">
        <v>169</v>
      </c>
      <c r="E98" t="s">
        <v>170</v>
      </c>
      <c r="F98" t="s">
        <v>15</v>
      </c>
    </row>
    <row r="99" spans="1:6" x14ac:dyDescent="0.25">
      <c r="A99" s="39">
        <v>46309.18156684028</v>
      </c>
      <c r="B99" t="s">
        <v>112</v>
      </c>
      <c r="C99" t="s">
        <v>120</v>
      </c>
      <c r="D99" t="s">
        <v>171</v>
      </c>
      <c r="E99" t="s">
        <v>116</v>
      </c>
      <c r="F99" t="s">
        <v>15</v>
      </c>
    </row>
    <row r="100" spans="1:6" x14ac:dyDescent="0.25">
      <c r="A100" s="39">
        <v>46309.18153649305</v>
      </c>
      <c r="B100" t="s">
        <v>112</v>
      </c>
      <c r="C100" t="s">
        <v>120</v>
      </c>
      <c r="D100" t="s">
        <v>172</v>
      </c>
      <c r="E100" t="s">
        <v>173</v>
      </c>
      <c r="F100" t="s">
        <v>15</v>
      </c>
    </row>
    <row r="101" spans="1:6" x14ac:dyDescent="0.25">
      <c r="A101" s="39">
        <v>46309.18153649305</v>
      </c>
      <c r="B101" t="s">
        <v>112</v>
      </c>
      <c r="C101" t="s">
        <v>120</v>
      </c>
      <c r="D101" t="s">
        <v>174</v>
      </c>
      <c r="E101" t="s">
        <v>116</v>
      </c>
      <c r="F101" t="s">
        <v>15</v>
      </c>
    </row>
    <row r="102" spans="1:6" x14ac:dyDescent="0.25">
      <c r="A102" s="39">
        <v>46309.181501377316</v>
      </c>
      <c r="B102" t="s">
        <v>112</v>
      </c>
      <c r="C102" t="s">
        <v>120</v>
      </c>
      <c r="D102" t="s">
        <v>175</v>
      </c>
      <c r="E102" t="s">
        <v>176</v>
      </c>
      <c r="F102" t="s">
        <v>15</v>
      </c>
    </row>
    <row r="103" spans="1:6" x14ac:dyDescent="0.25">
      <c r="A103" s="39">
        <v>46309.181501377316</v>
      </c>
      <c r="B103" t="s">
        <v>112</v>
      </c>
      <c r="C103" t="s">
        <v>120</v>
      </c>
      <c r="D103" t="s">
        <v>177</v>
      </c>
      <c r="E103" t="s">
        <v>116</v>
      </c>
      <c r="F103" t="s">
        <v>15</v>
      </c>
    </row>
    <row r="104" spans="1:6" x14ac:dyDescent="0.25">
      <c r="A104" s="39">
        <v>46309.18147420139</v>
      </c>
      <c r="B104" t="s">
        <v>112</v>
      </c>
      <c r="C104" t="s">
        <v>120</v>
      </c>
      <c r="D104" t="s">
        <v>178</v>
      </c>
      <c r="E104" t="s">
        <v>167</v>
      </c>
      <c r="F104" t="s">
        <v>15</v>
      </c>
    </row>
    <row r="105" spans="1:6" x14ac:dyDescent="0.25">
      <c r="A105" s="39">
        <v>46309.18147420139</v>
      </c>
      <c r="B105" t="s">
        <v>112</v>
      </c>
      <c r="C105" t="s">
        <v>120</v>
      </c>
      <c r="D105" t="s">
        <v>179</v>
      </c>
      <c r="E105" t="s">
        <v>176</v>
      </c>
      <c r="F105" t="s">
        <v>15</v>
      </c>
    </row>
    <row r="106" spans="1:6" x14ac:dyDescent="0.25">
      <c r="A106" s="39">
        <v>46309.18147420139</v>
      </c>
      <c r="B106" t="s">
        <v>112</v>
      </c>
      <c r="C106" t="s">
        <v>120</v>
      </c>
      <c r="D106" t="s">
        <v>180</v>
      </c>
      <c r="E106" t="s">
        <v>116</v>
      </c>
      <c r="F106" t="s">
        <v>15</v>
      </c>
    </row>
    <row r="107" spans="1:6" x14ac:dyDescent="0.25">
      <c r="A107" s="39">
        <v>46308.54463685185</v>
      </c>
      <c r="B107" t="s">
        <v>112</v>
      </c>
      <c r="C107" t="s">
        <v>113</v>
      </c>
      <c r="D107" t="s">
        <v>161</v>
      </c>
      <c r="E107" t="s">
        <v>97</v>
      </c>
      <c r="F107" t="s">
        <v>103</v>
      </c>
    </row>
    <row r="108" spans="1:6" x14ac:dyDescent="0.25">
      <c r="A108" s="39">
        <v>46308.54455116898</v>
      </c>
      <c r="B108" t="s">
        <v>112</v>
      </c>
      <c r="C108" t="s">
        <v>124</v>
      </c>
      <c r="D108" t="s">
        <v>161</v>
      </c>
      <c r="E108" t="s">
        <v>181</v>
      </c>
      <c r="F108" t="s">
        <v>161</v>
      </c>
    </row>
    <row r="109" spans="1:6" x14ac:dyDescent="0.25">
      <c r="A109" s="39">
        <v>46308.54440924768</v>
      </c>
      <c r="B109" t="s">
        <v>112</v>
      </c>
      <c r="C109" t="s">
        <v>115</v>
      </c>
      <c r="D109" t="s">
        <v>181</v>
      </c>
      <c r="E109" t="s">
        <v>15</v>
      </c>
      <c r="F109" t="s">
        <v>162</v>
      </c>
    </row>
    <row r="110" spans="1:6" x14ac:dyDescent="0.25">
      <c r="A110" s="39">
        <v>46308.54440924768</v>
      </c>
      <c r="B110" t="s">
        <v>112</v>
      </c>
      <c r="C110" t="s">
        <v>115</v>
      </c>
      <c r="D110" t="s">
        <v>163</v>
      </c>
      <c r="E110" t="s">
        <v>15</v>
      </c>
      <c r="F110" t="s">
        <v>116</v>
      </c>
    </row>
    <row r="111" spans="1:6" x14ac:dyDescent="0.25">
      <c r="A111" s="39">
        <v>46308.544208391206</v>
      </c>
      <c r="B111" t="s">
        <v>112</v>
      </c>
      <c r="C111" t="s">
        <v>115</v>
      </c>
      <c r="D111" t="s">
        <v>164</v>
      </c>
      <c r="E111" t="s">
        <v>15</v>
      </c>
      <c r="F111" t="s">
        <v>162</v>
      </c>
    </row>
    <row r="112" spans="1:6" x14ac:dyDescent="0.25">
      <c r="A112" s="39">
        <v>46308.543737326385</v>
      </c>
      <c r="B112" t="s">
        <v>112</v>
      </c>
      <c r="C112" t="s">
        <v>115</v>
      </c>
      <c r="D112" t="s">
        <v>165</v>
      </c>
      <c r="E112" t="s">
        <v>15</v>
      </c>
      <c r="F112" t="s">
        <v>116</v>
      </c>
    </row>
    <row r="113" spans="1:6" x14ac:dyDescent="0.25">
      <c r="A113" s="39">
        <v>46308.54358648148</v>
      </c>
      <c r="B113" t="s">
        <v>112</v>
      </c>
      <c r="C113" t="s">
        <v>120</v>
      </c>
      <c r="D113" t="s">
        <v>165</v>
      </c>
      <c r="E113" t="s">
        <v>152</v>
      </c>
      <c r="F113" t="s">
        <v>15</v>
      </c>
    </row>
    <row r="114" spans="1:6" x14ac:dyDescent="0.25">
      <c r="A114" s="39">
        <v>46308.54349909722</v>
      </c>
      <c r="B114" t="s">
        <v>112</v>
      </c>
      <c r="C114" t="s">
        <v>124</v>
      </c>
      <c r="D114" t="s">
        <v>165</v>
      </c>
      <c r="E114" t="s">
        <v>151</v>
      </c>
      <c r="F114" t="s">
        <v>165</v>
      </c>
    </row>
    <row r="115" spans="1:6" x14ac:dyDescent="0.25">
      <c r="A115" s="39">
        <v>46308.54329637732</v>
      </c>
      <c r="B115" t="s">
        <v>112</v>
      </c>
      <c r="C115" t="s">
        <v>115</v>
      </c>
      <c r="D115" t="s">
        <v>151</v>
      </c>
      <c r="E115" t="s">
        <v>15</v>
      </c>
      <c r="F115" t="s">
        <v>152</v>
      </c>
    </row>
    <row r="116" spans="1:6" x14ac:dyDescent="0.25">
      <c r="A116" s="39">
        <v>46308.542962175925</v>
      </c>
      <c r="B116" t="s">
        <v>112</v>
      </c>
      <c r="C116" t="s">
        <v>113</v>
      </c>
      <c r="D116" t="s">
        <v>166</v>
      </c>
      <c r="E116" t="s">
        <v>103</v>
      </c>
      <c r="F116" t="s">
        <v>97</v>
      </c>
    </row>
    <row r="117" spans="1:6" x14ac:dyDescent="0.25">
      <c r="A117" s="39">
        <v>46308.542926145834</v>
      </c>
      <c r="B117" t="s">
        <v>112</v>
      </c>
      <c r="C117" t="s">
        <v>124</v>
      </c>
      <c r="D117" t="s">
        <v>166</v>
      </c>
      <c r="E117" t="s">
        <v>182</v>
      </c>
      <c r="F117" t="s">
        <v>166</v>
      </c>
    </row>
    <row r="118" spans="1:6" x14ac:dyDescent="0.25">
      <c r="A118" s="39">
        <v>46308.54282030092</v>
      </c>
      <c r="B118" t="s">
        <v>112</v>
      </c>
      <c r="C118" t="s">
        <v>124</v>
      </c>
      <c r="D118" t="s">
        <v>168</v>
      </c>
      <c r="E118" t="s">
        <v>183</v>
      </c>
      <c r="F118" t="s">
        <v>168</v>
      </c>
    </row>
    <row r="119" spans="1:6" x14ac:dyDescent="0.25">
      <c r="A119" s="39">
        <v>46308.54230458333</v>
      </c>
      <c r="B119" t="s">
        <v>112</v>
      </c>
      <c r="C119" t="s">
        <v>120</v>
      </c>
      <c r="D119" t="s">
        <v>184</v>
      </c>
      <c r="E119" t="s">
        <v>176</v>
      </c>
      <c r="F119" t="s">
        <v>15</v>
      </c>
    </row>
    <row r="120" spans="1:6" x14ac:dyDescent="0.25">
      <c r="A120" s="39">
        <v>46308.54209179398</v>
      </c>
      <c r="B120" t="s">
        <v>112</v>
      </c>
      <c r="C120" t="s">
        <v>115</v>
      </c>
      <c r="D120" t="s">
        <v>182</v>
      </c>
      <c r="E120" t="s">
        <v>15</v>
      </c>
      <c r="F120" t="s">
        <v>167</v>
      </c>
    </row>
    <row r="121" spans="1:6" x14ac:dyDescent="0.25">
      <c r="A121" s="39">
        <v>46308.54209179398</v>
      </c>
      <c r="B121" t="s">
        <v>112</v>
      </c>
      <c r="C121" t="s">
        <v>115</v>
      </c>
      <c r="D121" t="s">
        <v>184</v>
      </c>
      <c r="E121" t="s">
        <v>15</v>
      </c>
      <c r="F121" t="s">
        <v>176</v>
      </c>
    </row>
    <row r="122" spans="1:6" x14ac:dyDescent="0.25">
      <c r="A122" s="39">
        <v>46308.54209179398</v>
      </c>
      <c r="B122" t="s">
        <v>112</v>
      </c>
      <c r="C122" t="s">
        <v>115</v>
      </c>
      <c r="D122" t="s">
        <v>183</v>
      </c>
      <c r="E122" t="s">
        <v>15</v>
      </c>
      <c r="F122" t="s">
        <v>116</v>
      </c>
    </row>
    <row r="123" spans="1:6" x14ac:dyDescent="0.25">
      <c r="A123" s="39">
        <v>46308.54191288195</v>
      </c>
      <c r="B123" t="s">
        <v>112</v>
      </c>
      <c r="C123" t="s">
        <v>120</v>
      </c>
      <c r="D123" t="s">
        <v>151</v>
      </c>
      <c r="E123" t="s">
        <v>152</v>
      </c>
      <c r="F123" t="s">
        <v>15</v>
      </c>
    </row>
    <row r="124" spans="1:6" x14ac:dyDescent="0.25">
      <c r="A124" s="39">
        <v>46308.54059599537</v>
      </c>
      <c r="B124" t="s">
        <v>112</v>
      </c>
      <c r="C124" t="s">
        <v>115</v>
      </c>
      <c r="D124" t="s">
        <v>151</v>
      </c>
      <c r="E124" t="s">
        <v>15</v>
      </c>
      <c r="F124" t="s">
        <v>152</v>
      </c>
    </row>
    <row r="125" spans="1:6" x14ac:dyDescent="0.25">
      <c r="A125" s="39">
        <v>46308.53923741898</v>
      </c>
      <c r="B125" t="s">
        <v>112</v>
      </c>
      <c r="C125" t="s">
        <v>113</v>
      </c>
      <c r="D125" t="s">
        <v>169</v>
      </c>
      <c r="E125" t="s">
        <v>126</v>
      </c>
      <c r="F125" t="s">
        <v>101</v>
      </c>
    </row>
    <row r="126" spans="1:6" x14ac:dyDescent="0.25">
      <c r="A126" s="39">
        <v>46308.53907846065</v>
      </c>
      <c r="B126" t="s">
        <v>112</v>
      </c>
      <c r="C126" t="s">
        <v>113</v>
      </c>
      <c r="D126" t="s">
        <v>172</v>
      </c>
      <c r="E126" t="s">
        <v>126</v>
      </c>
      <c r="F126" t="s">
        <v>101</v>
      </c>
    </row>
    <row r="127" spans="1:6" x14ac:dyDescent="0.25">
      <c r="A127" s="39">
        <v>46308.53843789352</v>
      </c>
      <c r="B127" t="s">
        <v>112</v>
      </c>
      <c r="C127" t="s">
        <v>124</v>
      </c>
      <c r="D127" t="s">
        <v>171</v>
      </c>
      <c r="E127" t="s">
        <v>185</v>
      </c>
      <c r="F127" t="s">
        <v>171</v>
      </c>
    </row>
    <row r="128" spans="1:6" x14ac:dyDescent="0.25">
      <c r="A128" s="39">
        <v>46308.53836824074</v>
      </c>
      <c r="B128" t="s">
        <v>112</v>
      </c>
      <c r="C128" t="s">
        <v>124</v>
      </c>
      <c r="D128" t="s">
        <v>174</v>
      </c>
      <c r="E128" t="s">
        <v>185</v>
      </c>
      <c r="F128" t="s">
        <v>174</v>
      </c>
    </row>
    <row r="129" spans="1:6" x14ac:dyDescent="0.25">
      <c r="A129" s="39">
        <v>46308.53819266203</v>
      </c>
      <c r="B129" t="s">
        <v>112</v>
      </c>
      <c r="C129" t="s">
        <v>124</v>
      </c>
      <c r="D129" t="s">
        <v>169</v>
      </c>
      <c r="E129" t="s">
        <v>186</v>
      </c>
      <c r="F129" t="s">
        <v>169</v>
      </c>
    </row>
    <row r="130" spans="1:6" x14ac:dyDescent="0.25">
      <c r="A130" s="39">
        <v>46308.53787069445</v>
      </c>
      <c r="B130" t="s">
        <v>112</v>
      </c>
      <c r="C130" t="s">
        <v>124</v>
      </c>
      <c r="D130" t="s">
        <v>172</v>
      </c>
      <c r="E130" t="s">
        <v>186</v>
      </c>
      <c r="F130" t="s">
        <v>172</v>
      </c>
    </row>
    <row r="131" spans="1:6" x14ac:dyDescent="0.25">
      <c r="A131" s="39">
        <v>46308.459094895836</v>
      </c>
      <c r="B131" t="s">
        <v>112</v>
      </c>
      <c r="C131" t="s">
        <v>115</v>
      </c>
      <c r="D131" t="s">
        <v>186</v>
      </c>
      <c r="E131" t="s">
        <v>15</v>
      </c>
      <c r="F131" t="s">
        <v>170</v>
      </c>
    </row>
    <row r="132" spans="1:6" x14ac:dyDescent="0.25">
      <c r="A132" s="39">
        <v>46308.45883739583</v>
      </c>
      <c r="B132" t="s">
        <v>112</v>
      </c>
      <c r="C132" t="s">
        <v>115</v>
      </c>
      <c r="D132" t="s">
        <v>185</v>
      </c>
      <c r="E132" t="s">
        <v>15</v>
      </c>
      <c r="F132" t="s">
        <v>116</v>
      </c>
    </row>
    <row r="133" spans="1:6" x14ac:dyDescent="0.25">
      <c r="A133" s="39">
        <v>46308.45844391204</v>
      </c>
      <c r="B133" t="s">
        <v>112</v>
      </c>
      <c r="C133" t="s">
        <v>115</v>
      </c>
      <c r="D133" t="s">
        <v>186</v>
      </c>
      <c r="E133" t="s">
        <v>15</v>
      </c>
      <c r="F133" t="s">
        <v>173</v>
      </c>
    </row>
    <row r="134" spans="1:6" x14ac:dyDescent="0.25">
      <c r="A134" s="39">
        <v>46308.458303541665</v>
      </c>
      <c r="B134" t="s">
        <v>112</v>
      </c>
      <c r="C134" t="s">
        <v>115</v>
      </c>
      <c r="D134" t="s">
        <v>185</v>
      </c>
      <c r="E134" t="s">
        <v>15</v>
      </c>
      <c r="F134" t="s">
        <v>116</v>
      </c>
    </row>
    <row r="135" spans="1:6" x14ac:dyDescent="0.25">
      <c r="A135" s="39">
        <v>46308.45601969908</v>
      </c>
      <c r="B135" t="s">
        <v>112</v>
      </c>
      <c r="C135" t="s">
        <v>113</v>
      </c>
      <c r="D135" t="s">
        <v>175</v>
      </c>
      <c r="E135" t="s">
        <v>126</v>
      </c>
      <c r="F135" t="s">
        <v>100</v>
      </c>
    </row>
    <row r="136" spans="1:6" x14ac:dyDescent="0.25">
      <c r="A136" s="39">
        <v>46308.45417321759</v>
      </c>
      <c r="B136" t="s">
        <v>112</v>
      </c>
      <c r="C136" t="s">
        <v>124</v>
      </c>
      <c r="D136" t="s">
        <v>175</v>
      </c>
      <c r="E136" t="s">
        <v>187</v>
      </c>
      <c r="F136" t="s">
        <v>175</v>
      </c>
    </row>
    <row r="137" spans="1:6" x14ac:dyDescent="0.25">
      <c r="A137" s="39">
        <v>46308.453751863424</v>
      </c>
      <c r="B137" t="s">
        <v>112</v>
      </c>
      <c r="C137" t="s">
        <v>115</v>
      </c>
      <c r="D137" t="s">
        <v>187</v>
      </c>
      <c r="E137" t="s">
        <v>15</v>
      </c>
      <c r="F137" t="s">
        <v>176</v>
      </c>
    </row>
    <row r="138" spans="1:6" x14ac:dyDescent="0.25">
      <c r="A138" s="39">
        <v>46308.45320055555</v>
      </c>
      <c r="B138" t="s">
        <v>112</v>
      </c>
      <c r="C138" t="s">
        <v>115</v>
      </c>
      <c r="D138" t="s">
        <v>177</v>
      </c>
      <c r="E138" t="s">
        <v>15</v>
      </c>
      <c r="F138" t="s">
        <v>116</v>
      </c>
    </row>
    <row r="139" spans="1:6" x14ac:dyDescent="0.25">
      <c r="A139" s="39">
        <v>46308.45181612269</v>
      </c>
      <c r="B139" t="s">
        <v>112</v>
      </c>
      <c r="C139" t="s">
        <v>113</v>
      </c>
      <c r="D139" t="s">
        <v>178</v>
      </c>
      <c r="E139" t="s">
        <v>126</v>
      </c>
      <c r="F139" t="s">
        <v>103</v>
      </c>
    </row>
    <row r="140" spans="1:6" x14ac:dyDescent="0.25">
      <c r="A140" s="39">
        <v>46308.45171396991</v>
      </c>
      <c r="B140" t="s">
        <v>112</v>
      </c>
      <c r="C140" t="s">
        <v>113</v>
      </c>
      <c r="D140" t="s">
        <v>179</v>
      </c>
      <c r="E140" t="s">
        <v>126</v>
      </c>
      <c r="F140" t="s">
        <v>103</v>
      </c>
    </row>
    <row r="141" spans="1:6" x14ac:dyDescent="0.25">
      <c r="A141" s="39">
        <v>46308.45012778935</v>
      </c>
      <c r="B141" t="s">
        <v>112</v>
      </c>
      <c r="C141" t="s">
        <v>153</v>
      </c>
      <c r="D141" t="s">
        <v>179</v>
      </c>
      <c r="E141" t="s">
        <v>154</v>
      </c>
      <c r="F141" t="s">
        <v>155</v>
      </c>
    </row>
    <row r="142" spans="1:6" x14ac:dyDescent="0.25">
      <c r="A142" s="39">
        <v>46308.450015787035</v>
      </c>
      <c r="B142" t="s">
        <v>112</v>
      </c>
      <c r="C142" t="s">
        <v>124</v>
      </c>
      <c r="D142" t="s">
        <v>178</v>
      </c>
      <c r="E142" t="s">
        <v>188</v>
      </c>
      <c r="F142" t="s">
        <v>178</v>
      </c>
    </row>
    <row r="143" spans="1:6" x14ac:dyDescent="0.25">
      <c r="A143" s="39">
        <v>46308.44962483796</v>
      </c>
      <c r="B143" t="s">
        <v>112</v>
      </c>
      <c r="C143" t="s">
        <v>124</v>
      </c>
      <c r="D143" t="s">
        <v>179</v>
      </c>
      <c r="E143" t="s">
        <v>189</v>
      </c>
      <c r="F143" t="s">
        <v>179</v>
      </c>
    </row>
    <row r="144" spans="1:6" x14ac:dyDescent="0.25">
      <c r="A144" s="39">
        <v>46308.447356041666</v>
      </c>
      <c r="B144" t="s">
        <v>112</v>
      </c>
      <c r="C144" t="s">
        <v>115</v>
      </c>
      <c r="D144" t="s">
        <v>188</v>
      </c>
      <c r="E144" t="s">
        <v>15</v>
      </c>
      <c r="F144" t="s">
        <v>167</v>
      </c>
    </row>
    <row r="145" spans="1:6" x14ac:dyDescent="0.25">
      <c r="A145" s="39">
        <v>46308.44675296296</v>
      </c>
      <c r="B145" t="s">
        <v>112</v>
      </c>
      <c r="C145" t="s">
        <v>115</v>
      </c>
      <c r="D145" t="s">
        <v>189</v>
      </c>
      <c r="E145" t="s">
        <v>15</v>
      </c>
      <c r="F145" t="s">
        <v>176</v>
      </c>
    </row>
    <row r="146" spans="1:6" x14ac:dyDescent="0.25">
      <c r="A146" s="39">
        <v>46308.44642853009</v>
      </c>
      <c r="B146" t="s">
        <v>112</v>
      </c>
      <c r="C146" t="s">
        <v>115</v>
      </c>
      <c r="D146" t="s">
        <v>180</v>
      </c>
      <c r="E146" t="s">
        <v>15</v>
      </c>
      <c r="F146" t="s">
        <v>116</v>
      </c>
    </row>
    <row r="147" spans="1:6" x14ac:dyDescent="0.25">
      <c r="A147" s="39">
        <v>46308.44451659722</v>
      </c>
      <c r="B147" t="s">
        <v>112</v>
      </c>
      <c r="C147" t="s">
        <v>190</v>
      </c>
      <c r="D147" t="s">
        <v>83</v>
      </c>
      <c r="E147" t="s">
        <v>191</v>
      </c>
      <c r="F147" t="s">
        <v>192</v>
      </c>
    </row>
    <row r="148" spans="1:6" x14ac:dyDescent="0.25">
      <c r="A148" s="39">
        <v>46308.44451659722</v>
      </c>
      <c r="B148" t="s">
        <v>112</v>
      </c>
      <c r="C148" t="s">
        <v>190</v>
      </c>
      <c r="D148" t="s">
        <v>193</v>
      </c>
      <c r="E148" t="s">
        <v>191</v>
      </c>
      <c r="F148" t="s">
        <v>194</v>
      </c>
    </row>
  </sheetData>
  <mergeCells count="2">
    <mergeCell ref="A1:F1"/>
    <mergeCell ref="A2:F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6" customWidth="1"/>
    <col min="4" max="5" width="16" customWidth="1"/>
    <col min="6" max="6" customWidth="1"/>
  </cols>
  <sheetData>
    <row r="1" ht="4" customHeight="1" spans="1:6" x14ac:dyDescent="0.25">
      <c r="A1" s="40"/>
      <c r="B1" s="40"/>
      <c r="C1" s="40"/>
      <c r="D1" s="40"/>
      <c r="E1" s="40"/>
      <c r="F1" s="40"/>
    </row>
    <row r="2" ht="36" customHeight="1" spans="1:6" x14ac:dyDescent="0.25">
      <c r="A2" s="41"/>
      <c r="B2" s="42" t="s">
        <v>195</v>
      </c>
      <c r="C2" s="42"/>
      <c r="D2" s="42"/>
      <c r="E2" s="42"/>
      <c r="F2" s="43"/>
    </row>
    <row r="3" ht="20" customHeight="1" spans="1:6" x14ac:dyDescent="0.25">
      <c r="A3" s="40"/>
      <c r="B3" s="44" t="s">
        <v>196</v>
      </c>
      <c r="C3" s="44"/>
      <c r="D3" s="44"/>
      <c r="E3" s="44"/>
      <c r="F3" s="45"/>
    </row>
    <row r="4" ht="3" customHeight="1" spans="1:6" x14ac:dyDescent="0.25">
      <c r="A4" s="40"/>
      <c r="B4" s="40"/>
      <c r="C4" s="40"/>
      <c r="D4" s="40"/>
      <c r="E4" s="40"/>
      <c r="F4" s="40"/>
    </row>
    <row r="5" ht="26" customHeight="1" spans="1:6" x14ac:dyDescent="0.25">
      <c r="A5" s="46"/>
      <c r="B5" s="47" t="s">
        <v>197</v>
      </c>
      <c r="C5" s="47"/>
      <c r="D5" s="47"/>
      <c r="E5" s="47"/>
      <c r="F5" s="48"/>
    </row>
    <row r="6" ht="22" customHeight="1" spans="1:6" x14ac:dyDescent="0.25">
      <c r="A6" s="49"/>
      <c r="B6" s="50" t="s">
        <v>198</v>
      </c>
      <c r="C6" s="51" t="s">
        <v>199</v>
      </c>
      <c r="D6" s="51"/>
      <c r="E6" s="51"/>
      <c r="F6" s="52"/>
    </row>
    <row r="7" ht="22" customHeight="1" spans="1:6" x14ac:dyDescent="0.25">
      <c r="A7" s="53"/>
      <c r="B7" s="54" t="s">
        <v>200</v>
      </c>
      <c r="C7" s="55" t="s">
        <v>199</v>
      </c>
      <c r="D7" s="55"/>
      <c r="E7" s="55"/>
      <c r="F7" s="56"/>
    </row>
    <row r="8" ht="22" customHeight="1" spans="1:6" x14ac:dyDescent="0.25">
      <c r="A8" s="49"/>
      <c r="B8" s="50" t="s">
        <v>201</v>
      </c>
      <c r="C8" s="51" t="s">
        <v>199</v>
      </c>
      <c r="D8" s="51"/>
      <c r="E8" s="51"/>
      <c r="F8" s="52"/>
    </row>
    <row r="9" ht="22" customHeight="1" spans="1:6" x14ac:dyDescent="0.25">
      <c r="A9" s="53"/>
      <c r="B9" s="54" t="s">
        <v>202</v>
      </c>
      <c r="C9" s="55" t="s">
        <v>199</v>
      </c>
      <c r="D9" s="55"/>
      <c r="E9" s="55"/>
      <c r="F9" s="56"/>
    </row>
    <row r="10" ht="22" customHeight="1" spans="1:6" x14ac:dyDescent="0.25">
      <c r="A10" s="49"/>
      <c r="B10" s="50" t="s">
        <v>203</v>
      </c>
      <c r="C10" s="51" t="s">
        <v>12</v>
      </c>
      <c r="D10" s="51"/>
      <c r="E10" s="51"/>
      <c r="F10" s="52"/>
    </row>
    <row r="11" ht="22" customHeight="1" spans="1:6" x14ac:dyDescent="0.25">
      <c r="A11" s="53"/>
      <c r="B11" s="54" t="s">
        <v>204</v>
      </c>
      <c r="C11" s="55" t="s">
        <v>1</v>
      </c>
      <c r="D11" s="55"/>
      <c r="E11" s="55"/>
      <c r="F11" s="56"/>
    </row>
    <row r="12" ht="22" customHeight="1" spans="1:6" x14ac:dyDescent="0.25">
      <c r="A12" s="49"/>
      <c r="B12" s="50" t="s">
        <v>205</v>
      </c>
      <c r="C12" s="51" t="s">
        <v>199</v>
      </c>
      <c r="D12" s="51"/>
      <c r="E12" s="51"/>
      <c r="F12" s="52"/>
    </row>
    <row r="13" ht="22" customHeight="1" spans="1:6" x14ac:dyDescent="0.25">
      <c r="A13" s="53"/>
      <c r="B13" s="54" t="s">
        <v>206</v>
      </c>
      <c r="C13" s="55" t="s">
        <v>207</v>
      </c>
      <c r="D13" s="55"/>
      <c r="E13" s="55"/>
      <c r="F13" s="56"/>
    </row>
    <row r="14" ht="8" customHeight="1" x14ac:dyDescent="0.25"/>
    <row r="15" ht="26" customHeight="1" spans="1:6" x14ac:dyDescent="0.25">
      <c r="A15" s="46"/>
      <c r="B15" s="47" t="s">
        <v>208</v>
      </c>
      <c r="C15" s="47"/>
      <c r="D15" s="47"/>
      <c r="E15" s="47"/>
      <c r="F15" s="48"/>
    </row>
    <row r="16" ht="22" customHeight="1" spans="1:6" x14ac:dyDescent="0.25">
      <c r="A16" s="49"/>
      <c r="B16" s="50" t="s">
        <v>209</v>
      </c>
      <c r="C16" s="51" t="s">
        <v>210</v>
      </c>
      <c r="D16" s="51"/>
      <c r="E16" s="51"/>
      <c r="F16" s="52"/>
    </row>
    <row r="17" ht="8" customHeight="1" x14ac:dyDescent="0.25"/>
    <row r="18" ht="26" customHeight="1" spans="1:6" x14ac:dyDescent="0.25">
      <c r="A18" s="46"/>
      <c r="B18" s="47" t="s">
        <v>211</v>
      </c>
      <c r="C18" s="47"/>
      <c r="D18" s="47"/>
      <c r="E18" s="47"/>
      <c r="F18" s="48"/>
    </row>
    <row r="19" ht="26" customHeight="1" spans="1:6" x14ac:dyDescent="0.25">
      <c r="A19" s="57"/>
      <c r="B19" s="58" t="s">
        <v>212</v>
      </c>
      <c r="C19" s="58" t="s">
        <v>213</v>
      </c>
      <c r="D19" s="58" t="s">
        <v>3</v>
      </c>
      <c r="E19" s="58" t="s">
        <v>214</v>
      </c>
      <c r="F19" s="59"/>
    </row>
    <row r="20" ht="22" customHeight="1" spans="1:6" x14ac:dyDescent="0.25">
      <c r="A20" s="49"/>
      <c r="B20" s="60" t="s">
        <v>56</v>
      </c>
      <c r="C20" s="61" t="s">
        <v>210</v>
      </c>
      <c r="D20" s="62" t="s">
        <v>210</v>
      </c>
      <c r="E20" s="63">
        <v>5</v>
      </c>
      <c r="F20" s="52"/>
    </row>
    <row r="21" ht="8" customHeight="1" x14ac:dyDescent="0.25"/>
    <row r="22" ht="3" customHeight="1" spans="1:6" x14ac:dyDescent="0.25">
      <c r="A22" s="40"/>
      <c r="B22" s="40"/>
      <c r="C22" s="40"/>
      <c r="D22" s="40"/>
      <c r="E22" s="40"/>
      <c r="F22" s="40"/>
    </row>
    <row r="23" ht="20" customHeight="1" spans="1:6" x14ac:dyDescent="0.25">
      <c r="A23" s="64" t="s">
        <v>215</v>
      </c>
      <c r="B23" s="64"/>
      <c r="C23" s="64"/>
      <c r="D23" s="64"/>
      <c r="E23" s="64"/>
      <c r="F23" s="64"/>
    </row>
  </sheetData>
  <mergeCells count="15">
    <mergeCell ref="B2:E2"/>
    <mergeCell ref="B3:E3"/>
    <mergeCell ref="B5:E5"/>
    <mergeCell ref="C6:E6"/>
    <mergeCell ref="C7:E7"/>
    <mergeCell ref="C8:E8"/>
    <mergeCell ref="C9:E9"/>
    <mergeCell ref="C10:E10"/>
    <mergeCell ref="C11:E11"/>
    <mergeCell ref="C12:E12"/>
    <mergeCell ref="C13:E13"/>
    <mergeCell ref="B15:E15"/>
    <mergeCell ref="C16:E16"/>
    <mergeCell ref="B18:E18"/>
    <mergeCell ref="A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10" customWidth="1"/>
    <col min="3" max="3" width="46" customWidth="1"/>
    <col min="9" max="9" width="17" customWidth="1"/>
    <col min="10" max="15" width="16" customWidth="1"/>
    <col min="16" max="16" width="34" customWidth="1"/>
  </cols>
  <sheetData>
    <row r="1" ht="30" customHeight="1" spans="1:16" x14ac:dyDescent="0.25">
      <c r="A1" s="65" t="s">
        <v>216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</row>
    <row r="2" ht="24" customHeight="1" spans="1:16" x14ac:dyDescent="0.25">
      <c r="A2" s="66"/>
      <c r="B2" s="66"/>
      <c r="C2" s="66"/>
      <c r="D2" s="66"/>
      <c r="E2" s="66"/>
      <c r="F2" s="66"/>
      <c r="G2" s="66"/>
      <c r="H2" s="67">
        <v>1</v>
      </c>
      <c r="I2" s="66"/>
      <c r="J2" s="66"/>
      <c r="K2" s="66"/>
      <c r="L2" s="66"/>
      <c r="M2" s="66"/>
      <c r="N2" s="66"/>
      <c r="O2" s="66"/>
      <c r="P2" s="66"/>
    </row>
    <row r="3" ht="45" customHeight="1" spans="1:16" x14ac:dyDescent="0.25">
      <c r="A3" s="68"/>
      <c r="B3" s="69" t="s">
        <v>217</v>
      </c>
      <c r="C3" s="70" t="s">
        <v>218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</row>
    <row r="4" ht="60" customHeight="1" spans="1:16" x14ac:dyDescent="0.25">
      <c r="A4" s="71" t="s">
        <v>15</v>
      </c>
      <c r="B4" s="71" t="s">
        <v>219</v>
      </c>
      <c r="C4" s="71" t="s">
        <v>3</v>
      </c>
      <c r="D4" s="71" t="s">
        <v>8</v>
      </c>
      <c r="E4" s="71" t="s">
        <v>220</v>
      </c>
      <c r="F4" s="71" t="s">
        <v>221</v>
      </c>
      <c r="G4" s="71" t="s">
        <v>222</v>
      </c>
      <c r="H4" s="71" t="s">
        <v>61</v>
      </c>
      <c r="I4" s="71" t="s">
        <v>223</v>
      </c>
      <c r="J4" s="71" t="s">
        <v>102</v>
      </c>
      <c r="K4" s="71" t="s">
        <v>101</v>
      </c>
      <c r="L4" s="71" t="s">
        <v>103</v>
      </c>
      <c r="M4" s="71" t="s">
        <v>100</v>
      </c>
      <c r="N4" s="71" t="s">
        <v>101</v>
      </c>
      <c r="O4" s="71" t="s">
        <v>97</v>
      </c>
      <c r="P4" s="71" t="s">
        <v>224</v>
      </c>
    </row>
    <row r="5" ht="28" customHeight="1" spans="1:16" x14ac:dyDescent="0.25">
      <c r="A5" s="72"/>
      <c r="B5" s="72"/>
      <c r="C5" s="73" t="s">
        <v>13</v>
      </c>
      <c r="D5" s="72"/>
      <c r="E5" s="72"/>
      <c r="F5" s="74" t="s">
        <v>210</v>
      </c>
      <c r="G5" s="74" t="s">
        <v>210</v>
      </c>
      <c r="H5" s="74" t="s">
        <v>210</v>
      </c>
      <c r="I5" s="72"/>
      <c r="J5" s="72"/>
      <c r="K5" s="72"/>
      <c r="L5" s="72"/>
      <c r="M5" s="72"/>
      <c r="N5" s="72"/>
      <c r="O5" s="72"/>
      <c r="P5" s="72"/>
    </row>
    <row r="6" ht="18" customHeight="1" spans="2:16" x14ac:dyDescent="0.25">
      <c r="B6" s="75" t="s">
        <v>225</v>
      </c>
      <c r="C6" s="76" t="s">
        <v>148</v>
      </c>
      <c r="D6" s="77" t="s">
        <v>19</v>
      </c>
      <c r="E6" s="78" t="s">
        <v>15</v>
      </c>
      <c r="F6" s="79" t="s">
        <v>15</v>
      </c>
      <c r="G6" s="79" t="s">
        <v>15</v>
      </c>
      <c r="H6" s="79" t="s">
        <v>15</v>
      </c>
      <c r="I6" s="80">
        <f>IF(E6&lt;&gt;"",E6,1)</f>
      </c>
      <c r="J6" s="78"/>
      <c r="K6" s="78"/>
      <c r="L6" s="78"/>
      <c r="M6" s="81">
        <f>I6</f>
      </c>
      <c r="N6" s="78"/>
      <c r="O6" s="78"/>
      <c r="P6" s="82" t="s">
        <v>15</v>
      </c>
    </row>
    <row r="7" ht="18" customHeight="1" spans="2:16" x14ac:dyDescent="0.25">
      <c r="B7" s="83" t="s">
        <v>226</v>
      </c>
      <c r="C7" s="84" t="s">
        <v>13</v>
      </c>
      <c r="D7" s="85" t="s">
        <v>19</v>
      </c>
      <c r="E7" s="86" t="s">
        <v>15</v>
      </c>
      <c r="F7" s="87" t="s">
        <v>15</v>
      </c>
      <c r="G7" s="87" t="s">
        <v>15</v>
      </c>
      <c r="H7" s="87" t="s">
        <v>15</v>
      </c>
      <c r="I7" s="88">
        <f>IF(E7&lt;&gt;"",E7,1)</f>
      </c>
      <c r="J7" s="86"/>
      <c r="K7" s="86"/>
      <c r="L7" s="89">
        <f>I7</f>
      </c>
      <c r="M7" s="86"/>
      <c r="N7" s="86"/>
      <c r="O7" s="86"/>
      <c r="P7" s="90" t="s">
        <v>22</v>
      </c>
    </row>
    <row r="8" ht="28" customHeight="1" spans="1:16" x14ac:dyDescent="0.25">
      <c r="A8" s="72"/>
      <c r="B8" s="72"/>
      <c r="C8" s="73" t="s">
        <v>24</v>
      </c>
      <c r="D8" s="72"/>
      <c r="E8" s="72"/>
      <c r="F8" s="74" t="s">
        <v>210</v>
      </c>
      <c r="G8" s="74" t="s">
        <v>210</v>
      </c>
      <c r="H8" s="74" t="s">
        <v>210</v>
      </c>
      <c r="I8" s="72"/>
      <c r="J8" s="72"/>
      <c r="K8" s="72"/>
      <c r="L8" s="72"/>
      <c r="M8" s="72"/>
      <c r="N8" s="72"/>
      <c r="O8" s="72"/>
      <c r="P8" s="72"/>
    </row>
    <row r="9" ht="18" customHeight="1" spans="2:16" x14ac:dyDescent="0.25">
      <c r="B9" s="75" t="s">
        <v>227</v>
      </c>
      <c r="C9" s="76" t="s">
        <v>143</v>
      </c>
      <c r="D9" s="77" t="s">
        <v>19</v>
      </c>
      <c r="E9" s="78" t="s">
        <v>15</v>
      </c>
      <c r="F9" s="79" t="s">
        <v>15</v>
      </c>
      <c r="G9" s="79" t="s">
        <v>15</v>
      </c>
      <c r="H9" s="79" t="s">
        <v>15</v>
      </c>
      <c r="I9" s="80">
        <f>IF(E9&lt;&gt;"",E9,1)</f>
      </c>
      <c r="J9" s="78"/>
      <c r="K9" s="78"/>
      <c r="L9" s="78"/>
      <c r="M9" s="78"/>
      <c r="N9" s="78"/>
      <c r="O9" s="81">
        <f>I9</f>
      </c>
      <c r="P9" s="82" t="s">
        <v>15</v>
      </c>
    </row>
    <row r="10" ht="18" customHeight="1" spans="2:16" x14ac:dyDescent="0.25">
      <c r="B10" s="83" t="s">
        <v>228</v>
      </c>
      <c r="C10" s="84" t="s">
        <v>141</v>
      </c>
      <c r="D10" s="85" t="s">
        <v>19</v>
      </c>
      <c r="E10" s="86" t="s">
        <v>15</v>
      </c>
      <c r="F10" s="87" t="s">
        <v>15</v>
      </c>
      <c r="G10" s="87" t="s">
        <v>15</v>
      </c>
      <c r="H10" s="87" t="s">
        <v>15</v>
      </c>
      <c r="I10" s="88">
        <f>IF(E10&lt;&gt;"",E10,1)</f>
      </c>
      <c r="J10" s="86"/>
      <c r="K10" s="86"/>
      <c r="L10" s="89">
        <f>I10</f>
      </c>
      <c r="M10" s="86"/>
      <c r="N10" s="86"/>
      <c r="O10" s="86"/>
      <c r="P10" s="90" t="s">
        <v>15</v>
      </c>
    </row>
    <row r="11" ht="18" customHeight="1" spans="2:16" x14ac:dyDescent="0.25">
      <c r="B11" s="75" t="s">
        <v>229</v>
      </c>
      <c r="C11" s="76" t="s">
        <v>137</v>
      </c>
      <c r="D11" s="77" t="s">
        <v>19</v>
      </c>
      <c r="E11" s="78" t="s">
        <v>15</v>
      </c>
      <c r="F11" s="79" t="s">
        <v>15</v>
      </c>
      <c r="G11" s="79" t="s">
        <v>15</v>
      </c>
      <c r="H11" s="79" t="s">
        <v>15</v>
      </c>
      <c r="I11" s="80">
        <f>IF(E11&lt;&gt;"",E11,1)</f>
      </c>
      <c r="J11" s="81">
        <f>I11</f>
      </c>
      <c r="K11" s="78"/>
      <c r="L11" s="78"/>
      <c r="M11" s="78"/>
      <c r="N11" s="78"/>
      <c r="O11" s="78"/>
      <c r="P11" s="82" t="s">
        <v>15</v>
      </c>
    </row>
    <row r="12" ht="18" customHeight="1" spans="2:16" x14ac:dyDescent="0.25">
      <c r="B12" s="83" t="s">
        <v>230</v>
      </c>
      <c r="C12" s="84" t="s">
        <v>135</v>
      </c>
      <c r="D12" s="85" t="s">
        <v>19</v>
      </c>
      <c r="E12" s="86" t="s">
        <v>15</v>
      </c>
      <c r="F12" s="87" t="s">
        <v>15</v>
      </c>
      <c r="G12" s="87" t="s">
        <v>15</v>
      </c>
      <c r="H12" s="87" t="s">
        <v>15</v>
      </c>
      <c r="I12" s="88">
        <f>IF(E12&lt;&gt;"",E12,1)</f>
      </c>
      <c r="J12" s="86"/>
      <c r="K12" s="86"/>
      <c r="L12" s="89">
        <f>I12</f>
      </c>
      <c r="M12" s="86"/>
      <c r="N12" s="86"/>
      <c r="O12" s="86"/>
      <c r="P12" s="90" t="s">
        <v>15</v>
      </c>
    </row>
    <row r="13" ht="28" customHeight="1" spans="1:16" x14ac:dyDescent="0.25">
      <c r="A13" s="72"/>
      <c r="B13" s="72"/>
      <c r="C13" s="73" t="s">
        <v>24</v>
      </c>
      <c r="D13" s="72"/>
      <c r="E13" s="72"/>
      <c r="F13" s="74" t="s">
        <v>210</v>
      </c>
      <c r="G13" s="74" t="s">
        <v>210</v>
      </c>
      <c r="H13" s="74" t="s">
        <v>210</v>
      </c>
      <c r="I13" s="72"/>
      <c r="J13" s="72"/>
      <c r="K13" s="72"/>
      <c r="L13" s="72"/>
      <c r="M13" s="72"/>
      <c r="N13" s="72"/>
      <c r="O13" s="72"/>
      <c r="P13" s="72"/>
    </row>
    <row r="14" ht="18" customHeight="1" spans="2:16" x14ac:dyDescent="0.25">
      <c r="B14" s="75" t="s">
        <v>231</v>
      </c>
      <c r="C14" s="76" t="s">
        <v>143</v>
      </c>
      <c r="D14" s="77" t="s">
        <v>19</v>
      </c>
      <c r="E14" s="78" t="s">
        <v>15</v>
      </c>
      <c r="F14" s="79" t="s">
        <v>15</v>
      </c>
      <c r="G14" s="79" t="s">
        <v>15</v>
      </c>
      <c r="H14" s="79" t="s">
        <v>15</v>
      </c>
      <c r="I14" s="80">
        <f>IF(E14&lt;&gt;"",E14,1)</f>
      </c>
      <c r="J14" s="78"/>
      <c r="K14" s="78"/>
      <c r="L14" s="78"/>
      <c r="M14" s="78"/>
      <c r="N14" s="78"/>
      <c r="O14" s="81">
        <f>I14</f>
      </c>
      <c r="P14" s="82" t="s">
        <v>15</v>
      </c>
    </row>
    <row r="15" ht="18" customHeight="1" spans="2:16" x14ac:dyDescent="0.25">
      <c r="B15" s="83" t="s">
        <v>232</v>
      </c>
      <c r="C15" s="84" t="s">
        <v>141</v>
      </c>
      <c r="D15" s="85" t="s">
        <v>19</v>
      </c>
      <c r="E15" s="86" t="s">
        <v>15</v>
      </c>
      <c r="F15" s="87" t="s">
        <v>15</v>
      </c>
      <c r="G15" s="87" t="s">
        <v>15</v>
      </c>
      <c r="H15" s="87" t="s">
        <v>15</v>
      </c>
      <c r="I15" s="88">
        <f>IF(E15&lt;&gt;"",E15,1)</f>
      </c>
      <c r="J15" s="86"/>
      <c r="K15" s="86"/>
      <c r="L15" s="89">
        <f>I15</f>
      </c>
      <c r="M15" s="86"/>
      <c r="N15" s="86"/>
      <c r="O15" s="86"/>
      <c r="P15" s="90" t="s">
        <v>15</v>
      </c>
    </row>
    <row r="16" ht="18" customHeight="1" spans="2:16" x14ac:dyDescent="0.25">
      <c r="B16" s="75" t="s">
        <v>233</v>
      </c>
      <c r="C16" s="76" t="s">
        <v>137</v>
      </c>
      <c r="D16" s="77" t="s">
        <v>19</v>
      </c>
      <c r="E16" s="78" t="s">
        <v>15</v>
      </c>
      <c r="F16" s="79" t="s">
        <v>15</v>
      </c>
      <c r="G16" s="79" t="s">
        <v>15</v>
      </c>
      <c r="H16" s="79" t="s">
        <v>15</v>
      </c>
      <c r="I16" s="80">
        <f>IF(E16&lt;&gt;"",E16,1)</f>
      </c>
      <c r="J16" s="81">
        <f>I16</f>
      </c>
      <c r="K16" s="78"/>
      <c r="L16" s="78"/>
      <c r="M16" s="78"/>
      <c r="N16" s="78"/>
      <c r="O16" s="78"/>
      <c r="P16" s="82" t="s">
        <v>15</v>
      </c>
    </row>
    <row r="17" ht="18" customHeight="1" spans="2:16" x14ac:dyDescent="0.25">
      <c r="B17" s="83" t="s">
        <v>234</v>
      </c>
      <c r="C17" s="84" t="s">
        <v>135</v>
      </c>
      <c r="D17" s="85" t="s">
        <v>19</v>
      </c>
      <c r="E17" s="86" t="s">
        <v>15</v>
      </c>
      <c r="F17" s="87" t="s">
        <v>15</v>
      </c>
      <c r="G17" s="87" t="s">
        <v>15</v>
      </c>
      <c r="H17" s="87" t="s">
        <v>15</v>
      </c>
      <c r="I17" s="88">
        <f>IF(E17&lt;&gt;"",E17,1)</f>
      </c>
      <c r="J17" s="86"/>
      <c r="K17" s="86"/>
      <c r="L17" s="89">
        <f>I17</f>
      </c>
      <c r="M17" s="86"/>
      <c r="N17" s="86"/>
      <c r="O17" s="86"/>
      <c r="P17" s="90" t="s">
        <v>15</v>
      </c>
    </row>
    <row r="18" ht="28" customHeight="1" spans="1:16" x14ac:dyDescent="0.25">
      <c r="A18" s="72"/>
      <c r="B18" s="72"/>
      <c r="C18" s="73" t="s">
        <v>36</v>
      </c>
      <c r="D18" s="72"/>
      <c r="E18" s="72"/>
      <c r="F18" s="74" t="s">
        <v>210</v>
      </c>
      <c r="G18" s="74" t="s">
        <v>210</v>
      </c>
      <c r="H18" s="74" t="s">
        <v>210</v>
      </c>
      <c r="I18" s="72"/>
      <c r="J18" s="72"/>
      <c r="K18" s="72"/>
      <c r="L18" s="72"/>
      <c r="M18" s="72"/>
      <c r="N18" s="72"/>
      <c r="O18" s="72"/>
      <c r="P18" s="72"/>
    </row>
    <row r="19" ht="18" customHeight="1" spans="2:16" x14ac:dyDescent="0.25">
      <c r="B19" s="75" t="s">
        <v>235</v>
      </c>
      <c r="C19" s="76" t="s">
        <v>132</v>
      </c>
      <c r="D19" s="77" t="s">
        <v>19</v>
      </c>
      <c r="E19" s="78" t="s">
        <v>15</v>
      </c>
      <c r="F19" s="79" t="s">
        <v>15</v>
      </c>
      <c r="G19" s="79" t="s">
        <v>15</v>
      </c>
      <c r="H19" s="79" t="s">
        <v>15</v>
      </c>
      <c r="I19" s="80">
        <f>IF(E19&lt;&gt;"",E19,1)</f>
      </c>
      <c r="J19" s="78"/>
      <c r="K19" s="81">
        <f>I19</f>
      </c>
      <c r="L19" s="78"/>
      <c r="M19" s="78"/>
      <c r="N19" s="78"/>
      <c r="O19" s="78"/>
      <c r="P19" s="82" t="s">
        <v>15</v>
      </c>
    </row>
    <row r="20" ht="28" customHeight="1" spans="1:16" x14ac:dyDescent="0.25">
      <c r="A20" s="72"/>
      <c r="B20" s="72"/>
      <c r="C20" s="73" t="s">
        <v>36</v>
      </c>
      <c r="D20" s="72"/>
      <c r="E20" s="72"/>
      <c r="F20" s="74" t="s">
        <v>210</v>
      </c>
      <c r="G20" s="74" t="s">
        <v>210</v>
      </c>
      <c r="H20" s="74" t="s">
        <v>210</v>
      </c>
      <c r="I20" s="72"/>
      <c r="J20" s="72"/>
      <c r="K20" s="72"/>
      <c r="L20" s="72"/>
      <c r="M20" s="72"/>
      <c r="N20" s="72"/>
      <c r="O20" s="72"/>
      <c r="P20" s="72"/>
    </row>
    <row r="21" ht="18" customHeight="1" spans="2:16" x14ac:dyDescent="0.25">
      <c r="B21" s="83" t="s">
        <v>236</v>
      </c>
      <c r="C21" s="84" t="s">
        <v>127</v>
      </c>
      <c r="D21" s="85" t="s">
        <v>43</v>
      </c>
      <c r="E21" s="86" t="s">
        <v>15</v>
      </c>
      <c r="F21" s="87" t="s">
        <v>15</v>
      </c>
      <c r="G21" s="87" t="s">
        <v>15</v>
      </c>
      <c r="H21" s="87" t="s">
        <v>15</v>
      </c>
      <c r="I21" s="88">
        <f>IF(E21&lt;&gt;"",E21,0)</f>
      </c>
      <c r="J21" s="86"/>
      <c r="K21" s="86"/>
      <c r="L21" s="86"/>
      <c r="M21" s="86"/>
      <c r="N21" s="89">
        <f>I21</f>
      </c>
      <c r="O21" s="86"/>
      <c r="P21" s="90" t="s">
        <v>15</v>
      </c>
    </row>
    <row r="22" ht="18" customHeight="1" spans="2:16" x14ac:dyDescent="0.25">
      <c r="B22" s="75" t="s">
        <v>237</v>
      </c>
      <c r="C22" s="76" t="s">
        <v>118</v>
      </c>
      <c r="D22" s="77" t="s">
        <v>43</v>
      </c>
      <c r="E22" s="78" t="s">
        <v>15</v>
      </c>
      <c r="F22" s="79" t="s">
        <v>15</v>
      </c>
      <c r="G22" s="79" t="s">
        <v>15</v>
      </c>
      <c r="H22" s="79" t="s">
        <v>15</v>
      </c>
      <c r="I22" s="80">
        <f>IF(E22&lt;&gt;"",E22,0)</f>
      </c>
      <c r="J22" s="78"/>
      <c r="K22" s="78"/>
      <c r="L22" s="81">
        <f>I22</f>
      </c>
      <c r="M22" s="78"/>
      <c r="N22" s="78"/>
      <c r="O22" s="78"/>
      <c r="P22" s="82" t="s">
        <v>15</v>
      </c>
    </row>
    <row r="23" ht="18" customHeight="1" spans="2:16" x14ac:dyDescent="0.25">
      <c r="B23" s="83" t="s">
        <v>238</v>
      </c>
      <c r="C23" s="84" t="s">
        <v>114</v>
      </c>
      <c r="D23" s="85" t="s">
        <v>43</v>
      </c>
      <c r="E23" s="86" t="s">
        <v>15</v>
      </c>
      <c r="F23" s="87" t="s">
        <v>15</v>
      </c>
      <c r="G23" s="87" t="s">
        <v>15</v>
      </c>
      <c r="H23" s="87" t="s">
        <v>15</v>
      </c>
      <c r="I23" s="88">
        <f>IF(E23&lt;&gt;"",E23,0)</f>
      </c>
      <c r="J23" s="86"/>
      <c r="K23" s="86"/>
      <c r="L23" s="89">
        <f>I23</f>
      </c>
      <c r="M23" s="86"/>
      <c r="N23" s="86"/>
      <c r="O23" s="86"/>
      <c r="P23" s="90" t="s">
        <v>15</v>
      </c>
    </row>
    <row r="24" ht="20" customHeight="1" spans="9:15" x14ac:dyDescent="0.25">
      <c r="I24" s="91" t="s">
        <v>239</v>
      </c>
      <c r="J24" s="92">
        <f>SUM(J5:J23)</f>
      </c>
      <c r="K24" s="92">
        <f>SUM(K5:K23)</f>
      </c>
      <c r="L24" s="92">
        <f>SUM(L5:L23)</f>
      </c>
      <c r="M24" s="92">
        <f>SUM(M5:M23)</f>
      </c>
      <c r="N24" s="92">
        <f>SUM(N5:N23)</f>
      </c>
      <c r="O24" s="92">
        <f>SUM(O5:O23)</f>
      </c>
    </row>
    <row r="25" ht="22" customHeight="1" spans="8:15" x14ac:dyDescent="0.25">
      <c r="H25" s="93">
        <f>H2</f>
      </c>
      <c r="I25" s="94" t="s">
        <v>240</v>
      </c>
      <c r="J25" s="95">
        <f>J24*H2/2.88</f>
      </c>
      <c r="K25" s="95">
        <f>K24*H2/2.88</f>
      </c>
      <c r="L25" s="95">
        <f>L24*H2/2.88</f>
      </c>
      <c r="M25" s="95">
        <f>M24*H2/2.88</f>
      </c>
      <c r="N25" s="95">
        <f>N24*H2/2.88</f>
      </c>
      <c r="O25" s="95">
        <f>O24*H2/2.88</f>
      </c>
    </row>
    <row r="26" ht="10" customHeight="1" x14ac:dyDescent="0.25"/>
    <row r="27" ht="10" customHeight="1" x14ac:dyDescent="0.25"/>
    <row r="28" ht="5" customHeight="1" spans="1:16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</row>
    <row r="29" ht="5" customHeight="1" spans="1:16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</row>
    <row r="30" ht="26" customHeight="1" spans="1:16" x14ac:dyDescent="0.25">
      <c r="A30" s="96" t="s">
        <v>241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</row>
    <row r="31" ht="28" customHeight="1" spans="9:15" x14ac:dyDescent="0.25">
      <c r="I31" s="97" t="s">
        <v>223</v>
      </c>
      <c r="J31" s="98">
        <f>J25</f>
      </c>
      <c r="K31" s="98">
        <f>K25</f>
      </c>
      <c r="L31" s="98">
        <f>L25</f>
      </c>
      <c r="M31" s="98">
        <f>M25</f>
      </c>
      <c r="N31" s="98">
        <f>N25</f>
      </c>
      <c r="O31" s="98">
        <f>O25</f>
      </c>
    </row>
    <row r="32" ht="74" customHeight="1" spans="10:15" x14ac:dyDescent="0.25">
      <c r="J32" s="99" t="s">
        <v>102</v>
      </c>
      <c r="K32" s="99" t="s">
        <v>101</v>
      </c>
      <c r="L32" s="99" t="s">
        <v>103</v>
      </c>
      <c r="M32" s="99" t="s">
        <v>100</v>
      </c>
      <c r="N32" s="99" t="s">
        <v>101</v>
      </c>
      <c r="O32" s="99" t="s">
        <v>97</v>
      </c>
    </row>
    <row r="34" ht="8" customHeight="1" x14ac:dyDescent="0.25"/>
    <row r="35" ht="8" customHeight="1" x14ac:dyDescent="0.25"/>
    <row r="36" ht="8" customHeight="1" x14ac:dyDescent="0.25"/>
    <row r="37" ht="8" customHeight="1" x14ac:dyDescent="0.25"/>
    <row r="38" ht="8" customHeight="1" x14ac:dyDescent="0.25"/>
    <row r="39" ht="8" customHeight="1" x14ac:dyDescent="0.25"/>
    <row r="40" ht="8" customHeight="1" x14ac:dyDescent="0.25"/>
    <row r="41" ht="8" customHeight="1" x14ac:dyDescent="0.25"/>
    <row r="42" ht="8" customHeight="1" x14ac:dyDescent="0.25"/>
    <row r="43" ht="8" customHeight="1" x14ac:dyDescent="0.25"/>
  </sheetData>
  <mergeCells count="2">
    <mergeCell ref="A1:P1"/>
    <mergeCell ref="A30: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5" customWidth="1"/>
    <col min="3" max="3" width="39" customWidth="1"/>
    <col min="4" max="4" width="36" customWidth="1"/>
    <col min="5" max="5" width="8" customWidth="1"/>
    <col min="6" max="7" width="14" customWidth="1"/>
    <col min="8" max="8" width="12" customWidth="1"/>
    <col min="9" max="9" width="30" customWidth="1"/>
    <col min="10" max="10" customWidth="1"/>
  </cols>
  <sheetData>
    <row r="1" ht="5" customHeight="1" spans="1:9" x14ac:dyDescent="0.25">
      <c r="A1" s="40"/>
      <c r="B1" s="40"/>
      <c r="C1" s="40"/>
      <c r="D1" s="40"/>
      <c r="E1" s="40"/>
      <c r="F1" s="40"/>
      <c r="G1" s="40"/>
      <c r="H1" s="40"/>
      <c r="I1" s="40"/>
    </row>
    <row r="2" ht="36" customHeight="1" spans="1:9" x14ac:dyDescent="0.25">
      <c r="A2" s="100"/>
      <c r="B2" s="101" t="s">
        <v>242</v>
      </c>
      <c r="C2" s="101"/>
      <c r="D2" s="101"/>
      <c r="E2" s="101"/>
      <c r="F2" s="101"/>
      <c r="G2" s="101"/>
      <c r="H2" s="101"/>
      <c r="I2" s="101"/>
    </row>
    <row r="3" ht="22" customHeight="1" spans="1:9" x14ac:dyDescent="0.25">
      <c r="A3" s="45"/>
      <c r="B3" s="44" t="s">
        <v>243</v>
      </c>
      <c r="C3" s="44"/>
      <c r="D3" s="44"/>
      <c r="E3" s="44"/>
      <c r="F3" s="44"/>
      <c r="G3" s="44"/>
      <c r="H3" s="44"/>
      <c r="I3" s="44"/>
    </row>
    <row r="4" ht="4" customHeight="1" spans="1:9" x14ac:dyDescent="0.25">
      <c r="A4" s="40"/>
      <c r="B4" s="40"/>
      <c r="C4" s="40"/>
      <c r="D4" s="40"/>
      <c r="E4" s="40"/>
      <c r="F4" s="40"/>
      <c r="G4" s="40"/>
      <c r="H4" s="40"/>
      <c r="I4" s="40"/>
    </row>
    <row r="5" ht="20" customHeight="1" spans="1:9" x14ac:dyDescent="0.25">
      <c r="A5" s="102"/>
      <c r="B5" s="103" t="s">
        <v>244</v>
      </c>
      <c r="C5" s="103"/>
      <c r="D5" s="103"/>
      <c r="E5" s="103"/>
      <c r="F5" s="103"/>
      <c r="G5" s="103"/>
      <c r="H5" s="103"/>
      <c r="I5" s="103"/>
    </row>
    <row r="6" ht="8" customHeight="1" x14ac:dyDescent="0.25"/>
    <row r="7" ht="50" customHeight="1" spans="1:9" x14ac:dyDescent="0.25">
      <c r="A7" s="104" t="s">
        <v>15</v>
      </c>
      <c r="B7" s="71" t="s">
        <v>245</v>
      </c>
      <c r="C7" s="71" t="s">
        <v>246</v>
      </c>
      <c r="D7" s="71" t="s">
        <v>247</v>
      </c>
      <c r="E7" s="71" t="s">
        <v>8</v>
      </c>
      <c r="F7" s="71" t="s">
        <v>248</v>
      </c>
      <c r="G7" s="71" t="s">
        <v>249</v>
      </c>
      <c r="H7" s="71" t="s">
        <v>250</v>
      </c>
      <c r="I7" s="71" t="s">
        <v>224</v>
      </c>
    </row>
    <row r="8" ht="22" customHeight="1" spans="1:9" x14ac:dyDescent="0.25">
      <c r="A8" s="105"/>
      <c r="B8" s="106">
        <v>1</v>
      </c>
      <c r="C8" s="107" t="s">
        <v>251</v>
      </c>
      <c r="D8" s="108" t="s">
        <v>102</v>
      </c>
      <c r="E8" s="109" t="s">
        <v>252</v>
      </c>
      <c r="F8" s="110">
        <f>BOQ_Matrix!J31</f>
      </c>
      <c r="G8" s="111">
        <v>2.88</v>
      </c>
      <c r="H8" s="112">
        <f>IFERROR(CEILING(F8/G8,1), "")</f>
      </c>
      <c r="I8" s="113" t="s">
        <v>253</v>
      </c>
    </row>
    <row r="9" ht="22" customHeight="1" spans="1:9" x14ac:dyDescent="0.25">
      <c r="A9" s="114"/>
      <c r="B9" s="115">
        <v>2</v>
      </c>
      <c r="C9" s="116" t="s">
        <v>254</v>
      </c>
      <c r="D9" s="117" t="s">
        <v>185</v>
      </c>
      <c r="E9" s="118" t="s">
        <v>252</v>
      </c>
      <c r="F9" s="119">
        <f>BOQ_Matrix!K31</f>
      </c>
      <c r="G9" s="120">
        <v>2.88</v>
      </c>
      <c r="H9" s="121">
        <f>IFERROR(CEILING(F9/G9,1), "")</f>
      </c>
      <c r="I9" s="122" t="s">
        <v>253</v>
      </c>
    </row>
    <row r="10" ht="22" customHeight="1" spans="1:9" x14ac:dyDescent="0.25">
      <c r="A10" s="105"/>
      <c r="B10" s="106">
        <v>3</v>
      </c>
      <c r="C10" s="107" t="s">
        <v>255</v>
      </c>
      <c r="D10" s="108" t="s">
        <v>256</v>
      </c>
      <c r="E10" s="109" t="s">
        <v>252</v>
      </c>
      <c r="F10" s="110">
        <f>BOQ_Matrix!L31</f>
      </c>
      <c r="G10" s="111">
        <v>2.88</v>
      </c>
      <c r="H10" s="112">
        <f>IFERROR(CEILING(F10/G10,1), "")</f>
      </c>
      <c r="I10" s="113" t="s">
        <v>257</v>
      </c>
    </row>
    <row r="11" ht="22" customHeight="1" spans="1:9" x14ac:dyDescent="0.25">
      <c r="A11" s="114"/>
      <c r="B11" s="115">
        <v>4</v>
      </c>
      <c r="C11" s="116" t="s">
        <v>258</v>
      </c>
      <c r="D11" s="117" t="s">
        <v>259</v>
      </c>
      <c r="E11" s="118" t="s">
        <v>252</v>
      </c>
      <c r="F11" s="119">
        <f>BOQ_Matrix!M31</f>
      </c>
      <c r="G11" s="120">
        <v>2.88</v>
      </c>
      <c r="H11" s="121">
        <f>IFERROR(CEILING(F11/G11,1), "")</f>
      </c>
      <c r="I11" s="122" t="s">
        <v>253</v>
      </c>
    </row>
    <row r="12" ht="22" customHeight="1" spans="1:9" x14ac:dyDescent="0.25">
      <c r="A12" s="105"/>
      <c r="B12" s="106">
        <v>5</v>
      </c>
      <c r="C12" s="107" t="s">
        <v>260</v>
      </c>
      <c r="D12" s="108" t="s">
        <v>185</v>
      </c>
      <c r="E12" s="109" t="s">
        <v>252</v>
      </c>
      <c r="F12" s="110">
        <f>BOQ_Matrix!N31</f>
      </c>
      <c r="G12" s="111">
        <v>2.88</v>
      </c>
      <c r="H12" s="112">
        <f>IFERROR(CEILING(F12/G12,1), "")</f>
      </c>
      <c r="I12" s="113" t="s">
        <v>261</v>
      </c>
    </row>
    <row r="13" ht="22" customHeight="1" spans="1:9" x14ac:dyDescent="0.25">
      <c r="A13" s="114"/>
      <c r="B13" s="115">
        <v>6</v>
      </c>
      <c r="C13" s="116" t="s">
        <v>262</v>
      </c>
      <c r="D13" s="117" t="s">
        <v>263</v>
      </c>
      <c r="E13" s="118" t="s">
        <v>252</v>
      </c>
      <c r="F13" s="119">
        <f>BOQ_Matrix!O31</f>
      </c>
      <c r="G13" s="120">
        <v>2.88</v>
      </c>
      <c r="H13" s="121">
        <f>IFERROR(CEILING(F13/G13,1), "")</f>
      </c>
      <c r="I13" s="122" t="s">
        <v>257</v>
      </c>
    </row>
    <row r="14" ht="5" customHeight="1" spans="1:9" x14ac:dyDescent="0.25">
      <c r="A14" s="40"/>
      <c r="B14" s="40"/>
      <c r="C14" s="40"/>
      <c r="D14" s="40"/>
      <c r="E14" s="40"/>
      <c r="F14" s="40"/>
      <c r="G14" s="40"/>
      <c r="H14" s="40"/>
      <c r="I14" s="40"/>
    </row>
    <row r="15" ht="20" customHeight="1" spans="1:9" x14ac:dyDescent="0.25">
      <c r="A15" s="100"/>
      <c r="B15" s="64" t="s">
        <v>264</v>
      </c>
      <c r="C15" s="64"/>
      <c r="D15" s="64"/>
      <c r="E15" s="64"/>
      <c r="F15" s="64"/>
      <c r="G15" s="64"/>
      <c r="H15" s="64"/>
      <c r="I15" s="64"/>
    </row>
  </sheetData>
  <mergeCells count="4">
    <mergeCell ref="B2:I2"/>
    <mergeCell ref="B3:I3"/>
    <mergeCell ref="B5:I5"/>
    <mergeCell ref="B15:I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5" customWidth="1"/>
    <col min="3" max="3" width="39" customWidth="1"/>
    <col min="4" max="4" width="36" customWidth="1"/>
    <col min="5" max="5" width="8" customWidth="1"/>
    <col min="6" max="6" width="14" customWidth="1"/>
    <col min="7" max="8" width="18" customWidth="1"/>
    <col min="9" max="9" width="30" customWidth="1"/>
    <col min="10" max="10" customWidth="1"/>
  </cols>
  <sheetData>
    <row r="1" ht="5" customHeight="1" spans="1:9" x14ac:dyDescent="0.25">
      <c r="A1" s="40"/>
      <c r="B1" s="40"/>
      <c r="C1" s="40"/>
      <c r="D1" s="40"/>
      <c r="E1" s="40"/>
      <c r="F1" s="40"/>
      <c r="G1" s="40"/>
      <c r="H1" s="40"/>
      <c r="I1" s="40"/>
    </row>
    <row r="2" ht="36" customHeight="1" spans="1:9" x14ac:dyDescent="0.25">
      <c r="A2" s="41"/>
      <c r="B2" s="101" t="s">
        <v>265</v>
      </c>
      <c r="C2" s="101"/>
      <c r="D2" s="101"/>
      <c r="E2" s="101"/>
      <c r="F2" s="101"/>
      <c r="G2" s="101"/>
      <c r="H2" s="101"/>
      <c r="I2" s="101"/>
    </row>
    <row r="3" ht="22" customHeight="1" spans="1:9" x14ac:dyDescent="0.25">
      <c r="A3" s="40"/>
      <c r="B3" s="44" t="s">
        <v>266</v>
      </c>
      <c r="C3" s="44"/>
      <c r="D3" s="44"/>
      <c r="E3" s="44"/>
      <c r="F3" s="44"/>
      <c r="G3" s="44"/>
      <c r="H3" s="44"/>
      <c r="I3" s="44"/>
    </row>
    <row r="4" ht="4" customHeight="1" spans="1:9" x14ac:dyDescent="0.25">
      <c r="A4" s="40"/>
      <c r="B4" s="40"/>
      <c r="C4" s="40"/>
      <c r="D4" s="40"/>
      <c r="E4" s="40"/>
      <c r="F4" s="40"/>
      <c r="G4" s="40"/>
      <c r="H4" s="40"/>
      <c r="I4" s="40"/>
    </row>
    <row r="5" ht="20" customHeight="1" spans="1:9" x14ac:dyDescent="0.25">
      <c r="A5" s="40"/>
      <c r="B5" s="103" t="s">
        <v>267</v>
      </c>
      <c r="C5" s="103"/>
      <c r="D5" s="103"/>
      <c r="E5" s="103"/>
      <c r="F5" s="103"/>
      <c r="G5" s="103"/>
      <c r="H5" s="103"/>
      <c r="I5" s="103"/>
    </row>
    <row r="6" ht="8" customHeight="1" x14ac:dyDescent="0.25"/>
    <row r="7" ht="50" customHeight="1" spans="1:9" x14ac:dyDescent="0.25">
      <c r="A7" s="104" t="s">
        <v>15</v>
      </c>
      <c r="B7" s="71" t="s">
        <v>245</v>
      </c>
      <c r="C7" s="71" t="s">
        <v>246</v>
      </c>
      <c r="D7" s="71" t="s">
        <v>247</v>
      </c>
      <c r="E7" s="71" t="s">
        <v>8</v>
      </c>
      <c r="F7" s="71" t="s">
        <v>268</v>
      </c>
      <c r="G7" s="71" t="s">
        <v>269</v>
      </c>
      <c r="H7" s="71" t="s">
        <v>270</v>
      </c>
      <c r="I7" s="71" t="s">
        <v>11</v>
      </c>
    </row>
    <row r="8" ht="22" customHeight="1" spans="1:9" x14ac:dyDescent="0.25">
      <c r="A8" s="49"/>
      <c r="B8" s="123">
        <v>1</v>
      </c>
      <c r="C8" s="124" t="s">
        <v>251</v>
      </c>
      <c r="D8" s="125" t="s">
        <v>102</v>
      </c>
      <c r="E8" s="126" t="s">
        <v>252</v>
      </c>
      <c r="F8" s="127">
        <f>Materials_List!F8</f>
      </c>
      <c r="G8" s="128">
        <v>0</v>
      </c>
      <c r="H8" s="129">
        <f>IFERROR(F8*G8, "")</f>
      </c>
      <c r="I8" s="130" t="s">
        <v>253</v>
      </c>
    </row>
    <row r="9" ht="22" customHeight="1" spans="1:9" x14ac:dyDescent="0.25">
      <c r="A9" s="53"/>
      <c r="B9" s="131">
        <v>2</v>
      </c>
      <c r="C9" s="132" t="s">
        <v>254</v>
      </c>
      <c r="D9" s="133" t="s">
        <v>185</v>
      </c>
      <c r="E9" s="134" t="s">
        <v>252</v>
      </c>
      <c r="F9" s="135">
        <f>Materials_List!F9</f>
      </c>
      <c r="G9" s="128">
        <v>0</v>
      </c>
      <c r="H9" s="136">
        <f>IFERROR(F9*G9, "")</f>
      </c>
      <c r="I9" s="137" t="s">
        <v>253</v>
      </c>
    </row>
    <row r="10" ht="22" customHeight="1" spans="1:9" x14ac:dyDescent="0.25">
      <c r="A10" s="49"/>
      <c r="B10" s="123">
        <v>3</v>
      </c>
      <c r="C10" s="124" t="s">
        <v>255</v>
      </c>
      <c r="D10" s="125" t="s">
        <v>256</v>
      </c>
      <c r="E10" s="126" t="s">
        <v>252</v>
      </c>
      <c r="F10" s="127">
        <f>Materials_List!F10</f>
      </c>
      <c r="G10" s="128">
        <v>0</v>
      </c>
      <c r="H10" s="129">
        <f>IFERROR(F10*G10, "")</f>
      </c>
      <c r="I10" s="130" t="s">
        <v>257</v>
      </c>
    </row>
    <row r="11" ht="22" customHeight="1" spans="1:9" x14ac:dyDescent="0.25">
      <c r="A11" s="53"/>
      <c r="B11" s="131">
        <v>4</v>
      </c>
      <c r="C11" s="132" t="s">
        <v>258</v>
      </c>
      <c r="D11" s="133" t="s">
        <v>259</v>
      </c>
      <c r="E11" s="134" t="s">
        <v>252</v>
      </c>
      <c r="F11" s="135">
        <f>Materials_List!F11</f>
      </c>
      <c r="G11" s="128">
        <v>0</v>
      </c>
      <c r="H11" s="136">
        <f>IFERROR(F11*G11, "")</f>
      </c>
      <c r="I11" s="137" t="s">
        <v>253</v>
      </c>
    </row>
    <row r="12" ht="22" customHeight="1" spans="1:9" x14ac:dyDescent="0.25">
      <c r="A12" s="49"/>
      <c r="B12" s="123">
        <v>5</v>
      </c>
      <c r="C12" s="124" t="s">
        <v>260</v>
      </c>
      <c r="D12" s="125" t="s">
        <v>185</v>
      </c>
      <c r="E12" s="126" t="s">
        <v>252</v>
      </c>
      <c r="F12" s="127">
        <f>Materials_List!F12</f>
      </c>
      <c r="G12" s="128">
        <v>0</v>
      </c>
      <c r="H12" s="129">
        <f>IFERROR(F12*G12, "")</f>
      </c>
      <c r="I12" s="130" t="s">
        <v>261</v>
      </c>
    </row>
    <row r="13" ht="22" customHeight="1" spans="1:9" x14ac:dyDescent="0.25">
      <c r="A13" s="53"/>
      <c r="B13" s="131">
        <v>6</v>
      </c>
      <c r="C13" s="132" t="s">
        <v>262</v>
      </c>
      <c r="D13" s="133" t="s">
        <v>263</v>
      </c>
      <c r="E13" s="134" t="s">
        <v>252</v>
      </c>
      <c r="F13" s="135">
        <f>Materials_List!F13</f>
      </c>
      <c r="G13" s="128">
        <v>0</v>
      </c>
      <c r="H13" s="136">
        <f>IFERROR(F13*G13, "")</f>
      </c>
      <c r="I13" s="137" t="s">
        <v>257</v>
      </c>
    </row>
    <row r="14" ht="8" customHeight="1" x14ac:dyDescent="0.25"/>
    <row r="15" ht="28" customHeight="1" spans="1:9" x14ac:dyDescent="0.25">
      <c r="A15" s="138"/>
      <c r="B15" s="138"/>
      <c r="C15" s="139" t="s">
        <v>271</v>
      </c>
      <c r="D15" s="139"/>
      <c r="E15" s="139"/>
      <c r="F15" s="139"/>
      <c r="G15" s="139"/>
      <c r="H15" s="140">
        <f>IFERROR(H8,0)+IFERROR(H9,0)+IFERROR(H10,0)+IFERROR(H11,0)+IFERROR(H12,0)+IFERROR(H13,0)</f>
      </c>
      <c r="I15" s="138"/>
    </row>
    <row r="16" ht="28" customHeight="1" spans="1:9" x14ac:dyDescent="0.25">
      <c r="A16" s="45"/>
      <c r="B16" s="45"/>
      <c r="C16" s="141" t="s">
        <v>272</v>
      </c>
      <c r="D16" s="141"/>
      <c r="E16" s="141"/>
      <c r="F16" s="141"/>
      <c r="G16" s="141"/>
      <c r="H16" s="142">
        <f>H15*0.05</f>
      </c>
      <c r="I16" s="45"/>
    </row>
    <row r="17" ht="34" customHeight="1" spans="1:9" x14ac:dyDescent="0.25">
      <c r="A17" s="100"/>
      <c r="B17" s="100"/>
      <c r="C17" s="143" t="s">
        <v>273</v>
      </c>
      <c r="D17" s="143"/>
      <c r="E17" s="143"/>
      <c r="F17" s="143"/>
      <c r="G17" s="143"/>
      <c r="H17" s="144">
        <f>H15+H16</f>
      </c>
      <c r="I17" s="100"/>
    </row>
    <row r="18" ht="5" customHeight="1" spans="1:9" x14ac:dyDescent="0.25">
      <c r="A18" s="40"/>
      <c r="B18" s="40"/>
      <c r="C18" s="40"/>
      <c r="D18" s="40"/>
      <c r="E18" s="40"/>
      <c r="F18" s="40"/>
      <c r="G18" s="40"/>
      <c r="H18" s="40"/>
      <c r="I18" s="40"/>
    </row>
    <row r="19" ht="20" customHeight="1" spans="1:9" x14ac:dyDescent="0.25">
      <c r="A19" s="40"/>
      <c r="B19" s="64" t="s">
        <v>274</v>
      </c>
      <c r="C19" s="64"/>
      <c r="D19" s="64"/>
      <c r="E19" s="64"/>
      <c r="F19" s="64"/>
      <c r="G19" s="64"/>
      <c r="H19" s="64"/>
      <c r="I19" s="64"/>
    </row>
  </sheetData>
  <mergeCells count="7">
    <mergeCell ref="B2:I2"/>
    <mergeCell ref="B3:I3"/>
    <mergeCell ref="B5:I5"/>
    <mergeCell ref="C15:G15"/>
    <mergeCell ref="C16:G16"/>
    <mergeCell ref="C17:G17"/>
    <mergeCell ref="B19:I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Takeoff</vt:lpstr>
      <vt:lpstr>Bill of Quantities</vt:lpstr>
      <vt:lpstr>Estimate summary</vt:lpstr>
      <vt:lpstr>Materials to order</vt:lpstr>
      <vt:lpstr>Change log</vt:lpstr>
      <vt:lpstr>Summary</vt:lpstr>
      <vt:lpstr>BOQ_Matrix</vt:lpstr>
      <vt:lpstr>Materials_List</vt:lpstr>
      <vt:lpstr>Cost_Breakdown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Foldrule</dc:creator>
  <dc:title/>
  <dc:subject/>
  <dc:description/>
  <cp:keywords/>
  <cp:category/>
  <cp:lastModifiedBy>Unknown</cp:lastModifiedBy>
  <dcterms:created xsi:type="dcterms:W3CDTF">2026-10-14T05:39:50Z</dcterms:created>
  <dcterms:modified xsi:type="dcterms:W3CDTF">2026-10-14T05:39:50Z</dcterms:modified>
</cp:coreProperties>
</file>