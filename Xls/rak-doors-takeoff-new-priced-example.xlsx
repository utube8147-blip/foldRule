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akeoff" state="visible" r:id="rId5"/>
    <sheet sheetId="3" name="Bill of Quantities" state="visible" r:id="rId6"/>
    <sheet sheetId="4" name="BOQ_Matrix" state="visible" r:id="rId7"/>
    <sheet sheetId="5" name="Materials" state="visible" r:id="rId8"/>
    <sheet sheetId="6" name="Cost_Breakdown" state="visible" r:id="rId9"/>
    <sheet sheetId="7" name="Change log" state="visible" r:id="rId10"/>
  </sheets>
  <definedNames>
    <definedName name="_xlnm.Print_Area" localSheetId="0">'Summary'!$A1:$F48</definedName>
  </definedNames>
  <calcPr calcId="171027"/>
</workbook>
</file>

<file path=xl/sharedStrings.xml><?xml version="1.0" encoding="utf-8"?>
<sst xmlns="http://schemas.openxmlformats.org/spreadsheetml/2006/main" count="488" uniqueCount="229">
  <si>
    <t>D01</t>
  </si>
  <si>
    <t>RAK Doors   ·   Ras Al Khaimah</t>
  </si>
  <si>
    <t xml:space="preserve"> 1 </t>
  </si>
  <si>
    <t xml:space="preserve">  PROJECT INFORMATION</t>
  </si>
  <si>
    <t>Project</t>
  </si>
  <si>
    <t>RAK Doors</t>
  </si>
  <si>
    <t>Location</t>
  </si>
  <si>
    <t>Ras Al Khaimah</t>
  </si>
  <si>
    <t>Type</t>
  </si>
  <si>
    <t>Date</t>
  </si>
  <si>
    <t>2026-10-13</t>
  </si>
  <si>
    <t>Revision</t>
  </si>
  <si>
    <t>B</t>
  </si>
  <si>
    <t>Currency / VAT</t>
  </si>
  <si>
    <t>AED   (VAT 5%)</t>
  </si>
  <si>
    <t>Main contractor</t>
  </si>
  <si>
    <t>Example Contracting LLC</t>
  </si>
  <si>
    <t>Design consultant</t>
  </si>
  <si>
    <t>Example Design Studio</t>
  </si>
  <si>
    <t>Supervision</t>
  </si>
  <si>
    <t>—</t>
  </si>
  <si>
    <t xml:space="preserve"> 2 </t>
  </si>
  <si>
    <t xml:space="preserve">  DRAWINGS</t>
  </si>
  <si>
    <t>2 sheets</t>
  </si>
  <si>
    <t>Ref 01</t>
  </si>
  <si>
    <t>ARAK-P1R1-INB-SD-ID-RES-ZZZ-3320277-02.pdf</t>
  </si>
  <si>
    <t>Ref 02</t>
  </si>
  <si>
    <t>ARAK-P1R1-INB-SD-ID-RES-ZZZ-3320361-01.pdf</t>
  </si>
  <si>
    <t xml:space="preserve"> 3 </t>
  </si>
  <si>
    <t xml:space="preserve">  BILL SUMMARY BY SECTION</t>
  </si>
  <si>
    <t>Section</t>
  </si>
  <si>
    <t>Description</t>
  </si>
  <si>
    <t>Items</t>
  </si>
  <si>
    <t/>
  </si>
  <si>
    <t>Amount</t>
  </si>
  <si>
    <t>H</t>
  </si>
  <si>
    <t>Doors and windows</t>
  </si>
  <si>
    <t>Total of the bill</t>
  </si>
  <si>
    <t xml:space="preserve"> 4 </t>
  </si>
  <si>
    <t xml:space="preserve">  ESTIMATE  ·  MEASURED WORK TO TENDER SUM</t>
  </si>
  <si>
    <t>Note</t>
  </si>
  <si>
    <t>%</t>
  </si>
  <si>
    <t>Measured work</t>
  </si>
  <si>
    <t>Quantity × rate, from the takeoff</t>
  </si>
  <si>
    <t>Preliminaries</t>
  </si>
  <si>
    <t>Site setup, supervision, temporary works, insurances</t>
  </si>
  <si>
    <t>Provisional sums</t>
  </si>
  <si>
    <t>Allowances for work not yet designed</t>
  </si>
  <si>
    <t>Works cost</t>
  </si>
  <si>
    <t>Contingency</t>
  </si>
  <si>
    <t>Risk allowance, on the works cost</t>
  </si>
  <si>
    <t>Overheads</t>
  </si>
  <si>
    <t>Head-office cost</t>
  </si>
  <si>
    <t>Profit</t>
  </si>
  <si>
    <t>Tender sum (before VAT)</t>
  </si>
  <si>
    <t>VAT</t>
  </si>
  <si>
    <t>Total</t>
  </si>
  <si>
    <t xml:space="preserve"> i </t>
  </si>
  <si>
    <t xml:space="preserve">  IN THIS WORKBOOK</t>
  </si>
  <si>
    <t>Takeoff</t>
  </si>
  <si>
    <t>Every measurement with its drawing, page, material, quantity, rate and amount.</t>
  </si>
  <si>
    <t>Bill of Quantities</t>
  </si>
  <si>
    <t>The priced bill, item by item under its work section, carried to a summary.</t>
  </si>
  <si>
    <t>BOQ_Matrix</t>
  </si>
  <si>
    <t>Each measured row against the material it uses; columns total each material.</t>
  </si>
  <si>
    <t>Materials</t>
  </si>
  <si>
    <t>What to order: net quantity, waste, sheet / pack size, order quantity, price and purchase cost.</t>
  </si>
  <si>
    <t>Cost_Breakdown</t>
  </si>
  <si>
    <t>Material, labour and equipment rates × quantity, with VAT and a check against the Takeoff.</t>
  </si>
  <si>
    <t>Change log</t>
  </si>
  <si>
    <t>Who changed which quantity, rate or setting, and when.</t>
  </si>
  <si>
    <t>All quantities subject to field verification. Amber cells are inputs: rates still to price, percentages you can change.</t>
  </si>
  <si>
    <t>D01  ·  MEASURED QUANTITIES</t>
  </si>
  <si>
    <t>RAK Doors   ·   Ras Al Khaimah   ·   Rev B   ·   2026-10-13</t>
  </si>
  <si>
    <t>★  One line per measurement, grouped as in Foldrule. Quantities include any timesing (see Notes). Rate = the row's own rate, else its material's. Amounts are live formulas.</t>
  </si>
  <si>
    <t>Item</t>
  </si>
  <si>
    <t>Drawing</t>
  </si>
  <si>
    <t>Page</t>
  </si>
  <si>
    <t>Measured as</t>
  </si>
  <si>
    <t>Material</t>
  </si>
  <si>
    <t>Quantity</t>
  </si>
  <si>
    <t>Unit</t>
  </si>
  <si>
    <t>Rate</t>
  </si>
  <si>
    <t>Notes</t>
  </si>
  <si>
    <t>1</t>
  </si>
  <si>
    <t>Door Leaf</t>
  </si>
  <si>
    <t>1.1</t>
  </si>
  <si>
    <t xml:space="preserve">   Door Leaf</t>
  </si>
  <si>
    <t>Area</t>
  </si>
  <si>
    <t>FR60mins Doorcore</t>
  </si>
  <si>
    <t>m²</t>
  </si>
  <si>
    <t>1.2</t>
  </si>
  <si>
    <t>Wrapping Veneer WD002</t>
  </si>
  <si>
    <t>2.0424 sq m × 2</t>
  </si>
  <si>
    <t>2</t>
  </si>
  <si>
    <t>DOOR Architrave</t>
  </si>
  <si>
    <t>2.1</t>
  </si>
  <si>
    <t xml:space="preserve">   DOOR Architrave</t>
  </si>
  <si>
    <t>12mmThk plain MDF</t>
  </si>
  <si>
    <t>2.2</t>
  </si>
  <si>
    <t xml:space="preserve">   DOOR Architrave 2</t>
  </si>
  <si>
    <t>2.3</t>
  </si>
  <si>
    <t xml:space="preserve">   DOOR Architrave 3</t>
  </si>
  <si>
    <t>Timber</t>
  </si>
  <si>
    <t>2.4</t>
  </si>
  <si>
    <t xml:space="preserve">   DOOR Architrave 4</t>
  </si>
  <si>
    <t>3</t>
  </si>
  <si>
    <t>4</t>
  </si>
  <si>
    <t>Door Frame</t>
  </si>
  <si>
    <t>4.1</t>
  </si>
  <si>
    <t xml:space="preserve">   Door Frame</t>
  </si>
  <si>
    <t>Solid Wood</t>
  </si>
  <si>
    <t>5</t>
  </si>
  <si>
    <t>5.1</t>
  </si>
  <si>
    <t xml:space="preserve">   Door Frame 1</t>
  </si>
  <si>
    <t>Length</t>
  </si>
  <si>
    <t>m</t>
  </si>
  <si>
    <t>5.2</t>
  </si>
  <si>
    <t xml:space="preserve">   Door Frame 2</t>
  </si>
  <si>
    <t>5.3</t>
  </si>
  <si>
    <t xml:space="preserve">   Door Frame 3</t>
  </si>
  <si>
    <t>M1</t>
  </si>
  <si>
    <t>Ironmongery set (hinges, lock, closer)</t>
  </si>
  <si>
    <t>Typed in</t>
  </si>
  <si>
    <t>nr</t>
  </si>
  <si>
    <t>Subtotal</t>
  </si>
  <si>
    <t>VAT 5%</t>
  </si>
  <si>
    <t>Prepared with Foldrule · 2026-10-14 · Amber rates are still to be priced.</t>
  </si>
  <si>
    <t>BILL OF QUANTITIES</t>
  </si>
  <si>
    <t>★  Items follow the work sections of the Principles of Measurement (International). Groups whose rows share a unit are billed as one item. Quantities as billed, to two decimals; the measured detail is on the Takeoff sheet.</t>
  </si>
  <si>
    <t xml:space="preserve"> H </t>
  </si>
  <si>
    <t xml:space="preserve">  DOORS AND WINDOWS</t>
  </si>
  <si>
    <t>5 items</t>
  </si>
  <si>
    <t>A</t>
  </si>
  <si>
    <t>C</t>
  </si>
  <si>
    <t>D</t>
  </si>
  <si>
    <t>E</t>
  </si>
  <si>
    <t>Carried to summary</t>
  </si>
  <si>
    <t xml:space="preserve"> Σ </t>
  </si>
  <si>
    <t xml:space="preserve">  SUMMARY</t>
  </si>
  <si>
    <t>All quantities subject to field verification. Amber rates are still to be priced.</t>
  </si>
  <si>
    <t>BOQ MATRIX  ·  D01  ·  QUANTITIES BY MATERIAL</t>
  </si>
  <si>
    <t>★  Each row's quantity is carried into its material's column. "Times" multiplies a row (blank = 1). Section totals add up each column. Materials and Cost_Breakdown take their quantities from the PROJECT TOTALS row.</t>
  </si>
  <si>
    <t>S.No</t>
  </si>
  <si>
    <t>Times</t>
  </si>
  <si>
    <t>Measured</t>
  </si>
  <si>
    <t>Total QTY</t>
  </si>
  <si>
    <t xml:space="preserve">FR60mins Doorcore
(m²)</t>
  </si>
  <si>
    <t xml:space="preserve">Wrapping Veneer WD002
(m²)</t>
  </si>
  <si>
    <t xml:space="preserve">12mmThk plain MDF
(m²)</t>
  </si>
  <si>
    <t xml:space="preserve">Timber
(m²)</t>
  </si>
  <si>
    <t xml:space="preserve">Solid Wood
(m²)</t>
  </si>
  <si>
    <t xml:space="preserve">Solid Wood
(m)</t>
  </si>
  <si>
    <t xml:space="preserve">Wrapping Veneer WD002
(m)</t>
  </si>
  <si>
    <t>Remarks</t>
  </si>
  <si>
    <t>5 groups</t>
  </si>
  <si>
    <t>DOOR Architrave 2</t>
  </si>
  <si>
    <t>DOOR Architrave 3</t>
  </si>
  <si>
    <t>DOOR Architrave 4</t>
  </si>
  <si>
    <t>Door Frame 1</t>
  </si>
  <si>
    <t>Door Frame 2</t>
  </si>
  <si>
    <t>Measured in m; Wrapping Veneer WD002 is sold per m²</t>
  </si>
  <si>
    <t>Door Frame 3</t>
  </si>
  <si>
    <t>Other items</t>
  </si>
  <si>
    <t>Section H total</t>
  </si>
  <si>
    <t>PROJECT TOTALS  —  All sections</t>
  </si>
  <si>
    <t>MATERIALS LIST  ·  WHAT TO ORDER</t>
  </si>
  <si>
    <t>★  Net quantities are live from BOQ_Matrix (project totals). Gross = net + waste. Enter a sheet or pack size (amber) and the order rounds up to whole sheets / packs; leave it blank to order the gross quantity. Price each is the material price per "buy by" unit — material only, no labour or equipment.</t>
  </si>
  <si>
    <t>#</t>
  </si>
  <si>
    <t>Code</t>
  </si>
  <si>
    <t xml:space="preserve">Net
quantity</t>
  </si>
  <si>
    <t>Waste</t>
  </si>
  <si>
    <t xml:space="preserve">Gross
quantity</t>
  </si>
  <si>
    <t xml:space="preserve">Sheet / pack
size</t>
  </si>
  <si>
    <t>Buy by</t>
  </si>
  <si>
    <t xml:space="preserve">Order
quantity</t>
  </si>
  <si>
    <t>Price each</t>
  </si>
  <si>
    <t xml:space="preserve">Purchase
cost</t>
  </si>
  <si>
    <t>Supplier</t>
  </si>
  <si>
    <t>06 00 01</t>
  </si>
  <si>
    <t>06 00 00</t>
  </si>
  <si>
    <t>sheet</t>
  </si>
  <si>
    <t>One sheet covers 2.88 m²</t>
  </si>
  <si>
    <t>Measured in m but sold per m²: convert (e.g. length × girth) before ordering</t>
  </si>
  <si>
    <t>Materials to buy (excl. VAT)</t>
  </si>
  <si>
    <t>Order quantities include waste and round up to whole sheets / packs where a size is given. Check against site conditions before ordering.</t>
  </si>
  <si>
    <t>COST BREAKDOWN  ·  QUANTITIES × UNIT RATES</t>
  </si>
  <si>
    <t>RAK Doors   ·   Ras Al Khaimah   ·   Rev B   ·   2026-10-13   ·   AED   ·   VAT 5%</t>
  </si>
  <si>
    <t>★  Quantities are live from the Materials sheet. Unit rate = material (incl. waste) + labour + equipment; where rows carry their own rate, the average rate of those rows is used so this sheet agrees with the Takeoff. Green = rate from data · Amber = still to be priced.</t>
  </si>
  <si>
    <t xml:space="preserve">Material
rate</t>
  </si>
  <si>
    <t xml:space="preserve">Labour
rate</t>
  </si>
  <si>
    <t xml:space="preserve">Equipment
rate</t>
  </si>
  <si>
    <t>Unit rate</t>
  </si>
  <si>
    <t xml:space="preserve"> M </t>
  </si>
  <si>
    <t xml:space="preserve">  MATERIALS</t>
  </si>
  <si>
    <t>7 lines</t>
  </si>
  <si>
    <t>Wrapping Veneer WD002 (m²)</t>
  </si>
  <si>
    <t>Stored rate (build-up 32.2)</t>
  </si>
  <si>
    <t>Solid Wood (m²)</t>
  </si>
  <si>
    <t>Not priced yet</t>
  </si>
  <si>
    <t>Solid Wood (m)</t>
  </si>
  <si>
    <t>Wrapping Veneer WD002 (m)</t>
  </si>
  <si>
    <t>Measured in m, priced per m² · Stored rate (build-up 32.2)</t>
  </si>
  <si>
    <t xml:space="preserve"> O </t>
  </si>
  <si>
    <t xml:space="preserve">  ITEMS WITHOUT A MATERIAL</t>
  </si>
  <si>
    <t>1 item</t>
  </si>
  <si>
    <t>Takeoff item M1</t>
  </si>
  <si>
    <t>Subtotal  (excl. VAT)</t>
  </si>
  <si>
    <t>VAT  (5%)</t>
  </si>
  <si>
    <t>GRAND TOTAL  (incl. VAT)</t>
  </si>
  <si>
    <t>Check: Takeoff total before VAT</t>
  </si>
  <si>
    <t>Difference (should be 0)</t>
  </si>
  <si>
    <t>Rates to be confirmed by the tendering contractor. All quantities are subject to field verification.</t>
  </si>
  <si>
    <t>CHANGE LOG  ·  WHO CHANGED WHAT</t>
  </si>
  <si>
    <t>★  Every change to a quantity, rate, material, price or estimate setting, newest first.</t>
  </si>
  <si>
    <t>When</t>
  </si>
  <si>
    <t>Who</t>
  </si>
  <si>
    <t>What</t>
  </si>
  <si>
    <t>From</t>
  </si>
  <si>
    <t>To</t>
  </si>
  <si>
    <t>munsif</t>
  </si>
  <si>
    <t>Added</t>
  </si>
  <si>
    <t>0.267 m</t>
  </si>
  <si>
    <t>2.047 sq m</t>
  </si>
  <si>
    <t>2.042 sq m</t>
  </si>
  <si>
    <t>Setting</t>
  </si>
  <si>
    <t>not set</t>
  </si>
  <si>
    <t>5%</t>
  </si>
  <si>
    <t>Times are in the exporting computer's clock.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</si>
</sst>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AED &quot;#,##0.00"/>
    <numFmt numFmtId="165" formatCode="0.0#%"/>
    <numFmt numFmtId="166" formatCode="#,##0.000"/>
    <numFmt numFmtId="167" formatCode="#,##0.###"/>
    <numFmt numFmtId="168" formatCode="yyyy-mm-dd hh:mm"/>
  </numFmts>
  <fonts count="28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C8A84B"/>
      <sz val="10"/>
      <name val="Calibri"/>
    </font>
    <font>
      <b/>
      <color rgb="FFC8A84B"/>
      <sz val="11"/>
      <name val="Calibri"/>
    </font>
    <font>
      <b/>
      <color rgb="FFFFFFFF"/>
      <sz val="12"/>
      <name val="Calibri"/>
    </font>
    <font>
      <b/>
      <color rgb="FF6C7A8D"/>
      <sz val="9"/>
      <name val="Calibri"/>
    </font>
    <font>
      <b/>
      <color rgb="FF0D1B2A"/>
      <sz val="10"/>
      <name val="Calibri"/>
    </font>
    <font>
      <b/>
      <color rgb="FFFFFFFF"/>
      <sz val="10"/>
      <name val="Calibri"/>
    </font>
    <font>
      <color rgb="FF1C1C1C"/>
      <sz val="10"/>
      <name val="Calibri"/>
    </font>
    <font>
      <color rgb="FF0D1B2A"/>
      <sz val="10"/>
      <name val="Calibri"/>
    </font>
    <font>
      <i/>
      <color rgb="FF8A9BAE"/>
      <sz val="9"/>
      <name val="Calibri"/>
    </font>
    <font>
      <b/>
      <color rgb="FFC8A84B"/>
      <sz val="12"/>
      <name val="Calibri"/>
    </font>
    <font>
      <i/>
      <color rgb="FF6C7A8D"/>
      <sz val="8"/>
      <name val="Calibri"/>
    </font>
    <font>
      <i/>
      <color rgb="FF6C7A8D"/>
      <sz val="9"/>
      <name val="Calibri"/>
    </font>
    <font>
      <b/>
      <color rgb="FF1A3A5C"/>
      <sz val="10"/>
      <name val="Calibri"/>
    </font>
    <font>
      <color rgb="FF6C7A8D"/>
      <sz val="9"/>
      <name val="Calibri"/>
    </font>
    <font>
      <b/>
      <color rgb="FF1A5C3A"/>
      <sz val="10"/>
      <name val="Calibri"/>
    </font>
    <font>
      <color rgb="FF6C7A8D"/>
      <sz val="10"/>
      <name val="Calibri"/>
    </font>
    <font>
      <b/>
      <color rgb="FF1C1C1C"/>
      <sz val="10"/>
      <name val="Calibri"/>
    </font>
    <font>
      <color rgb="FF9A6B00"/>
      <sz val="10"/>
      <name val="Calibri"/>
    </font>
    <font>
      <color rgb="FF2C3E50"/>
      <sz val="10"/>
      <name val="Calibri"/>
    </font>
    <font>
      <b/>
      <color rgb="FFB8962E"/>
      <sz val="10"/>
      <name val="Calibri"/>
    </font>
    <font>
      <color rgb="FF2A6496"/>
      <sz val="10"/>
      <name val="Calibri"/>
    </font>
    <font>
      <i/>
      <color rgb="FF9A3412"/>
      <sz val="9"/>
      <name val="Calibri"/>
    </font>
    <font>
      <b/>
      <color rgb="FFFFFFFF"/>
      <sz val="13"/>
      <name val="Calibri"/>
    </font>
    <font>
      <b/>
      <color rgb="FF2A6496"/>
      <sz val="10"/>
      <name val="Calibri"/>
    </font>
    <font>
      <b/>
      <color rgb="FF0D1B2A"/>
      <sz val="11"/>
      <name val="Calibri"/>
    </font>
    <font>
      <b/>
      <color rgb="FF9A3412"/>
      <sz val="1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B8962E"/>
      </patternFill>
    </fill>
    <fill>
      <patternFill patternType="solid">
        <fgColor rgb="FF0D1B2A"/>
      </patternFill>
    </fill>
    <fill>
      <patternFill patternType="solid">
        <fgColor rgb="FF1A3A5C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F8F9FC"/>
      </patternFill>
    </fill>
    <fill>
      <patternFill patternType="solid">
        <fgColor rgb="FFFFF8E7"/>
      </patternFill>
    </fill>
    <fill>
      <patternFill patternType="solid">
        <fgColor rgb="FFD9E1F2"/>
      </patternFill>
    </fill>
    <fill>
      <patternFill patternType="solid">
        <fgColor rgb="FFE8F5E9"/>
      </patternFill>
    </fill>
    <fill>
      <patternFill patternType="solid">
        <fgColor rgb="FFEBF3FA"/>
      </patternFill>
    </fill>
    <fill>
      <patternFill patternType="solid">
        <fgColor rgb="FFE2EFDA"/>
      </patternFill>
    </fill>
    <fill>
      <patternFill patternType="solid">
        <fgColor rgb="FF2C3E50"/>
      </patternFill>
    </fill>
  </fills>
  <borders count="15">
    <border>
      <left/>
      <right/>
      <top/>
      <bottom/>
      <diagonal/>
    </border>
    <border>
      <left/>
      <right/>
      <top/>
      <bottom style="medium">
        <color rgb="FFB8962E"/>
      </bottom>
      <diagonal/>
    </border>
    <border>
      <left/>
      <right/>
      <top style="medium">
        <color rgb="FFB8962E"/>
      </top>
      <bottom style="medium">
        <color rgb="FFB8962E"/>
      </bottom>
      <diagonal/>
    </border>
    <border>
      <left style="medium">
        <color rgb="FFB8962E"/>
      </left>
      <right style="thin">
        <color rgb="FFC8A84B"/>
      </right>
      <top style="medium">
        <color rgb="FFB8962E"/>
      </top>
      <bottom style="medium">
        <color rgb="FFB8962E"/>
      </bottom>
      <diagonal/>
    </border>
    <border>
      <left style="medium">
        <color rgb="FFB8962E"/>
      </left>
      <right/>
      <top/>
      <bottom style="thin">
        <color rgb="FFE8E8E8"/>
      </bottom>
      <diagonal/>
    </border>
    <border>
      <left/>
      <right style="medium">
        <color rgb="FFB8962E"/>
      </right>
      <top/>
      <bottom style="thin">
        <color rgb="FFE8E8E8"/>
      </bottom>
      <diagonal/>
    </border>
    <border>
      <left style="medium">
        <color rgb="FFB8962E"/>
      </left>
      <right/>
      <top/>
      <bottom style="thin">
        <color rgb="FFDDEEFF"/>
      </bottom>
      <diagonal/>
    </border>
    <border>
      <left/>
      <right style="medium">
        <color rgb="FFB8962E"/>
      </right>
      <top/>
      <bottom style="thin">
        <color rgb="FFDDEEFF"/>
      </bottom>
      <diagonal/>
    </border>
    <border>
      <left style="medium">
        <color rgb="FFC8A84B"/>
      </left>
      <right style="medium">
        <color rgb="FFC8A84B"/>
      </right>
      <top style="medium">
        <color rgb="FFC8A84B"/>
      </top>
      <bottom style="medium">
        <color rgb="FFC8A84B"/>
      </bottom>
      <diagonal/>
    </border>
    <border>
      <left style="thin">
        <color rgb="FFEEF2F7"/>
      </left>
      <right style="thin">
        <color rgb="FFEEF2F7"/>
      </right>
      <top style="thin">
        <color rgb="FFEEF2F7"/>
      </top>
      <bottom style="thin">
        <color rgb="FFEEF2F7"/>
      </bottom>
      <diagonal/>
    </border>
    <border>
      <left/>
      <right/>
      <top style="thin">
        <color rgb="FF1A3A5C"/>
      </top>
      <bottom/>
      <diagonal/>
    </border>
    <border>
      <left style="thin">
        <color rgb="FFE3E8EF"/>
      </left>
      <right style="thin">
        <color rgb="FFE3E8EF"/>
      </right>
      <top style="thin">
        <color rgb="FFE3E8EF"/>
      </top>
      <bottom style="thin">
        <color rgb="FFE3E8EF"/>
      </bottom>
      <diagonal/>
    </border>
    <border>
      <left/>
      <right/>
      <top/>
      <bottom style="thin">
        <color rgb="FFC8A84B"/>
      </bottom>
      <diagonal/>
    </border>
    <border>
      <left/>
      <right/>
      <top style="thin">
        <color rgb="FF1A3A5C"/>
      </top>
      <bottom style="thin">
        <color rgb="FF1A3A5C"/>
      </bottom>
      <diagonal/>
    </border>
    <border>
      <left style="thin">
        <color rgb="FFC8A84B"/>
      </left>
      <right style="thin">
        <color rgb="FFC8A84B"/>
      </right>
      <top style="thin">
        <color rgb="FFC8A84B"/>
      </top>
      <bottom style="thin">
        <color rgb="FFC8A84B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2" borderId="2" xfId="0" applyFill="1" applyBorder="1"/>
    <xf numFmtId="0" fontId="3" fillId="4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left" vertical="center" wrapText="1"/>
    </xf>
    <xf numFmtId="0" fontId="5" fillId="6" borderId="6" xfId="0" applyFont="1" applyFill="1" applyBorder="1" applyAlignment="1">
      <alignment horizontal="left" vertical="center"/>
    </xf>
    <xf numFmtId="0" fontId="6" fillId="6" borderId="7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right" vertical="center"/>
    </xf>
    <xf numFmtId="0" fontId="7" fillId="4" borderId="8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right" vertical="center" wrapText="1"/>
    </xf>
    <xf numFmtId="0" fontId="6" fillId="5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left" vertical="center"/>
    </xf>
    <xf numFmtId="0" fontId="8" fillId="5" borderId="9" xfId="0" applyFont="1" applyFill="1" applyBorder="1" applyAlignment="1">
      <alignment horizontal="center" vertical="center"/>
    </xf>
    <xf numFmtId="164" fontId="9" fillId="5" borderId="9" xfId="0" applyNumberFormat="1" applyFont="1" applyFill="1" applyBorder="1" applyAlignment="1">
      <alignment horizontal="right" vertical="center"/>
    </xf>
    <xf numFmtId="0" fontId="0" fillId="6" borderId="0" xfId="0" applyFill="1"/>
    <xf numFmtId="0" fontId="6" fillId="6" borderId="0" xfId="0" applyFont="1" applyFill="1" applyAlignment="1">
      <alignment horizontal="right" vertical="center"/>
    </xf>
    <xf numFmtId="164" fontId="6" fillId="6" borderId="10" xfId="0" applyNumberFormat="1" applyFont="1" applyFill="1" applyBorder="1" applyAlignment="1">
      <alignment horizontal="right" vertical="center"/>
    </xf>
    <xf numFmtId="0" fontId="10" fillId="5" borderId="9" xfId="0" applyFont="1" applyFill="1" applyBorder="1" applyAlignment="1">
      <alignment horizontal="left" vertical="center"/>
    </xf>
    <xf numFmtId="0" fontId="8" fillId="7" borderId="11" xfId="0" applyFont="1" applyFill="1" applyBorder="1" applyAlignment="1">
      <alignment horizontal="left" vertical="center"/>
    </xf>
    <xf numFmtId="0" fontId="10" fillId="7" borderId="11" xfId="0" applyFont="1" applyFill="1" applyBorder="1" applyAlignment="1">
      <alignment horizontal="left" vertical="center"/>
    </xf>
    <xf numFmtId="165" fontId="8" fillId="8" borderId="11" xfId="0" applyNumberFormat="1" applyFont="1" applyFill="1" applyBorder="1" applyAlignment="1">
      <alignment horizontal="right" vertical="center"/>
    </xf>
    <xf numFmtId="164" fontId="9" fillId="7" borderId="11" xfId="0" applyNumberFormat="1" applyFont="1" applyFill="1" applyBorder="1" applyAlignment="1">
      <alignment horizontal="right" vertical="center"/>
    </xf>
    <xf numFmtId="0" fontId="6" fillId="6" borderId="10" xfId="0" applyFont="1" applyFill="1" applyBorder="1" applyAlignment="1">
      <alignment horizontal="left" vertical="center"/>
    </xf>
    <xf numFmtId="0" fontId="10" fillId="6" borderId="10" xfId="0" applyFont="1" applyFill="1" applyBorder="1" applyAlignment="1">
      <alignment horizontal="left" vertical="center"/>
    </xf>
    <xf numFmtId="0" fontId="8" fillId="6" borderId="10" xfId="0" applyFont="1" applyFill="1" applyBorder="1" applyAlignment="1">
      <alignment horizontal="left" vertical="center"/>
    </xf>
    <xf numFmtId="165" fontId="8" fillId="8" borderId="9" xfId="0" applyNumberFormat="1" applyFont="1" applyFill="1" applyBorder="1" applyAlignment="1">
      <alignment horizontal="right" vertical="center"/>
    </xf>
    <xf numFmtId="0" fontId="4" fillId="3" borderId="10" xfId="0" applyFont="1" applyFill="1" applyBorder="1" applyAlignment="1">
      <alignment horizontal="left" vertical="center"/>
    </xf>
    <xf numFmtId="0" fontId="10" fillId="3" borderId="10" xfId="0" applyFont="1" applyFill="1" applyBorder="1" applyAlignment="1">
      <alignment horizontal="left" vertical="center"/>
    </xf>
    <xf numFmtId="0" fontId="8" fillId="3" borderId="10" xfId="0" applyFont="1" applyFill="1" applyBorder="1" applyAlignment="1">
      <alignment horizontal="left" vertical="center"/>
    </xf>
    <xf numFmtId="164" fontId="11" fillId="3" borderId="10" xfId="0" applyNumberFormat="1" applyFont="1" applyFill="1" applyBorder="1" applyAlignment="1">
      <alignment horizontal="right" vertical="center"/>
    </xf>
    <xf numFmtId="0" fontId="12" fillId="3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4" fillId="9" borderId="12" xfId="0" applyFont="1" applyFill="1" applyBorder="1" applyAlignment="1">
      <alignment horizontal="center" vertical="center"/>
    </xf>
    <xf numFmtId="0" fontId="14" fillId="9" borderId="12" xfId="0" applyFont="1" applyFill="1" applyBorder="1" applyAlignment="1">
      <alignment horizontal="left" vertical="center"/>
    </xf>
    <xf numFmtId="0" fontId="13" fillId="9" borderId="12" xfId="0" applyFont="1" applyFill="1" applyBorder="1" applyAlignment="1">
      <alignment horizontal="left" vertical="center"/>
    </xf>
    <xf numFmtId="164" fontId="6" fillId="9" borderId="12" xfId="0" applyNumberFormat="1" applyFont="1" applyFill="1" applyBorder="1" applyAlignment="1">
      <alignment horizontal="right" vertical="center"/>
    </xf>
    <xf numFmtId="0" fontId="8" fillId="5" borderId="9" xfId="0" applyFont="1" applyFill="1" applyBorder="1" applyAlignment="1">
      <alignment horizontal="left" vertical="center" wrapText="1"/>
    </xf>
    <xf numFmtId="0" fontId="15" fillId="5" borderId="9" xfId="0" applyFont="1" applyFill="1" applyBorder="1" applyAlignment="1">
      <alignment horizontal="left" vertical="center"/>
    </xf>
    <xf numFmtId="0" fontId="15" fillId="5" borderId="9" xfId="0" applyFont="1" applyFill="1" applyBorder="1" applyAlignment="1">
      <alignment horizontal="center" vertical="center"/>
    </xf>
    <xf numFmtId="4" fontId="16" fillId="10" borderId="9" xfId="0" applyNumberFormat="1" applyFont="1" applyFill="1" applyBorder="1" applyAlignment="1">
      <alignment horizontal="right" vertical="center"/>
    </xf>
    <xf numFmtId="0" fontId="17" fillId="5" borderId="9" xfId="0" applyFont="1" applyFill="1" applyBorder="1" applyAlignment="1">
      <alignment horizontal="center" vertical="center"/>
    </xf>
    <xf numFmtId="164" fontId="18" fillId="10" borderId="9" xfId="0" applyNumberFormat="1" applyFont="1" applyFill="1" applyBorder="1" applyAlignment="1">
      <alignment horizontal="right" vertical="center"/>
    </xf>
    <xf numFmtId="0" fontId="10" fillId="5" borderId="9" xfId="0" applyFont="1" applyFill="1" applyBorder="1" applyAlignment="1">
      <alignment horizontal="left" vertical="center" wrapText="1"/>
    </xf>
    <xf numFmtId="0" fontId="6" fillId="7" borderId="11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left" vertical="center" wrapText="1"/>
    </xf>
    <xf numFmtId="0" fontId="15" fillId="7" borderId="11" xfId="0" applyFont="1" applyFill="1" applyBorder="1" applyAlignment="1">
      <alignment horizontal="left" vertical="center"/>
    </xf>
    <xf numFmtId="0" fontId="15" fillId="7" borderId="11" xfId="0" applyFont="1" applyFill="1" applyBorder="1" applyAlignment="1">
      <alignment horizontal="center" vertical="center"/>
    </xf>
    <xf numFmtId="4" fontId="16" fillId="10" borderId="11" xfId="0" applyNumberFormat="1" applyFont="1" applyFill="1" applyBorder="1" applyAlignment="1">
      <alignment horizontal="right" vertical="center"/>
    </xf>
    <xf numFmtId="0" fontId="17" fillId="7" borderId="11" xfId="0" applyFont="1" applyFill="1" applyBorder="1" applyAlignment="1">
      <alignment horizontal="center" vertical="center"/>
    </xf>
    <xf numFmtId="164" fontId="18" fillId="10" borderId="11" xfId="0" applyNumberFormat="1" applyFont="1" applyFill="1" applyBorder="1" applyAlignment="1">
      <alignment horizontal="right" vertical="center"/>
    </xf>
    <xf numFmtId="0" fontId="10" fillId="7" borderId="11" xfId="0" applyFont="1" applyFill="1" applyBorder="1" applyAlignment="1">
      <alignment horizontal="left" vertical="center" wrapText="1"/>
    </xf>
    <xf numFmtId="164" fontId="19" fillId="8" borderId="9" xfId="0" applyNumberFormat="1" applyFont="1" applyFill="1" applyBorder="1" applyAlignment="1">
      <alignment horizontal="right" vertical="center"/>
    </xf>
    <xf numFmtId="0" fontId="17" fillId="7" borderId="11" xfId="0" applyFont="1" applyFill="1" applyBorder="1" applyAlignment="1">
      <alignment horizontal="left" vertical="center"/>
    </xf>
    <xf numFmtId="0" fontId="0" fillId="5" borderId="0" xfId="0" applyFill="1"/>
    <xf numFmtId="0" fontId="9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0" fontId="0" fillId="3" borderId="0" xfId="0" applyFill="1"/>
    <xf numFmtId="0" fontId="4" fillId="3" borderId="0" xfId="0" applyFont="1" applyFill="1" applyAlignment="1">
      <alignment horizontal="right" vertical="center"/>
    </xf>
    <xf numFmtId="164" fontId="11" fillId="3" borderId="8" xfId="0" applyNumberFormat="1" applyFont="1" applyFill="1" applyBorder="1" applyAlignment="1">
      <alignment horizontal="right" vertical="center"/>
    </xf>
    <xf numFmtId="0" fontId="20" fillId="9" borderId="12" xfId="0" applyFont="1" applyFill="1" applyBorder="1" applyAlignment="1">
      <alignment horizontal="center" vertical="center"/>
    </xf>
    <xf numFmtId="0" fontId="21" fillId="8" borderId="9" xfId="0" applyFont="1" applyFill="1" applyBorder="1" applyAlignment="1">
      <alignment horizontal="center" vertical="center"/>
    </xf>
    <xf numFmtId="166" fontId="8" fillId="5" borderId="9" xfId="0" applyNumberFormat="1" applyFont="1" applyFill="1" applyBorder="1" applyAlignment="1">
      <alignment horizontal="right" vertical="center"/>
    </xf>
    <xf numFmtId="166" fontId="16" fillId="10" borderId="9" xfId="0" applyNumberFormat="1" applyFont="1" applyFill="1" applyBorder="1" applyAlignment="1">
      <alignment horizontal="right" vertical="center"/>
    </xf>
    <xf numFmtId="166" fontId="22" fillId="11" borderId="9" xfId="0" applyNumberFormat="1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center"/>
    </xf>
    <xf numFmtId="166" fontId="8" fillId="7" borderId="11" xfId="0" applyNumberFormat="1" applyFont="1" applyFill="1" applyBorder="1" applyAlignment="1">
      <alignment horizontal="right" vertical="center"/>
    </xf>
    <xf numFmtId="166" fontId="16" fillId="10" borderId="11" xfId="0" applyNumberFormat="1" applyFont="1" applyFill="1" applyBorder="1" applyAlignment="1">
      <alignment horizontal="right" vertical="center"/>
    </xf>
    <xf numFmtId="166" fontId="22" fillId="11" borderId="11" xfId="0" applyNumberFormat="1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left" vertical="center" wrapText="1"/>
    </xf>
    <xf numFmtId="0" fontId="23" fillId="5" borderId="9" xfId="0" applyFont="1" applyFill="1" applyBorder="1" applyAlignment="1">
      <alignment horizontal="left" vertical="center" wrapText="1"/>
    </xf>
    <xf numFmtId="0" fontId="6" fillId="12" borderId="0" xfId="0" applyFont="1" applyFill="1" applyAlignment="1">
      <alignment horizontal="right" vertical="center"/>
    </xf>
    <xf numFmtId="166" fontId="6" fillId="12" borderId="13" xfId="0" applyNumberFormat="1" applyFont="1" applyFill="1" applyBorder="1" applyAlignment="1">
      <alignment horizontal="center" vertical="center"/>
    </xf>
    <xf numFmtId="0" fontId="0" fillId="12" borderId="0" xfId="0" applyFill="1"/>
    <xf numFmtId="0" fontId="24" fillId="13" borderId="0" xfId="0" applyFont="1" applyFill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13" fillId="5" borderId="9" xfId="0" applyFont="1" applyFill="1" applyBorder="1" applyAlignment="1">
      <alignment horizontal="left" vertical="center"/>
    </xf>
    <xf numFmtId="4" fontId="25" fillId="11" borderId="9" xfId="0" applyNumberFormat="1" applyFont="1" applyFill="1" applyBorder="1" applyAlignment="1">
      <alignment horizontal="right" vertical="center"/>
    </xf>
    <xf numFmtId="165" fontId="8" fillId="8" borderId="9" xfId="0" applyNumberFormat="1" applyFont="1" applyFill="1" applyBorder="1" applyAlignment="1">
      <alignment horizontal="center" vertical="center"/>
    </xf>
    <xf numFmtId="167" fontId="20" fillId="8" borderId="9" xfId="0" applyNumberFormat="1" applyFont="1" applyFill="1" applyBorder="1" applyAlignment="1">
      <alignment horizontal="center" vertical="center"/>
    </xf>
    <xf numFmtId="4" fontId="26" fillId="6" borderId="9" xfId="0" applyNumberFormat="1" applyFont="1" applyFill="1" applyBorder="1" applyAlignment="1">
      <alignment horizontal="right" vertical="center"/>
    </xf>
    <xf numFmtId="0" fontId="13" fillId="7" borderId="11" xfId="0" applyFont="1" applyFill="1" applyBorder="1" applyAlignment="1">
      <alignment horizontal="left" vertical="center"/>
    </xf>
    <xf numFmtId="4" fontId="25" fillId="11" borderId="11" xfId="0" applyNumberFormat="1" applyFont="1" applyFill="1" applyBorder="1" applyAlignment="1">
      <alignment horizontal="right" vertical="center"/>
    </xf>
    <xf numFmtId="165" fontId="8" fillId="8" borderId="11" xfId="0" applyNumberFormat="1" applyFont="1" applyFill="1" applyBorder="1" applyAlignment="1">
      <alignment horizontal="center" vertical="center"/>
    </xf>
    <xf numFmtId="167" fontId="20" fillId="8" borderId="11" xfId="0" applyNumberFormat="1" applyFont="1" applyFill="1" applyBorder="1" applyAlignment="1">
      <alignment horizontal="center" vertical="center"/>
    </xf>
    <xf numFmtId="4" fontId="26" fillId="6" borderId="11" xfId="0" applyNumberFormat="1" applyFont="1" applyFill="1" applyBorder="1" applyAlignment="1">
      <alignment horizontal="right" vertical="center"/>
    </xf>
    <xf numFmtId="164" fontId="20" fillId="5" borderId="9" xfId="0" applyNumberFormat="1" applyFont="1" applyFill="1" applyBorder="1" applyAlignment="1">
      <alignment horizontal="right" vertical="center"/>
    </xf>
    <xf numFmtId="164" fontId="20" fillId="7" borderId="11" xfId="0" applyNumberFormat="1" applyFont="1" applyFill="1" applyBorder="1" applyAlignment="1">
      <alignment horizontal="right" vertical="center"/>
    </xf>
    <xf numFmtId="164" fontId="27" fillId="5" borderId="0" xfId="0" applyNumberFormat="1" applyFont="1" applyFill="1" applyAlignment="1">
      <alignment horizontal="right" vertical="center"/>
    </xf>
    <xf numFmtId="168" fontId="15" fillId="5" borderId="9" xfId="0" applyNumberFormat="1" applyFont="1" applyFill="1" applyBorder="1" applyAlignment="1">
      <alignment horizontal="left" vertical="center"/>
    </xf>
    <xf numFmtId="0" fontId="17" fillId="5" borderId="9" xfId="0" applyFont="1" applyFill="1" applyBorder="1" applyAlignment="1">
      <alignment horizontal="left" vertical="center"/>
    </xf>
    <xf numFmtId="168" fontId="15" fillId="7" borderId="11" xfId="0" applyNumberFormat="1" applyFont="1" applyFill="1" applyBorder="1" applyAlignment="1">
      <alignment horizontal="left" vertical="center"/>
    </xf>
    <xf numFmtId="0" fontId="16" fillId="7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8962E"/>
    <pageSetUpPr fitToPage="1"/>
  </sheetPr>
  <dimension ref="A1:F48"/>
  <sheetViews>
    <sheetView workbookViewId="0" showGridLines="0"/>
  </sheetViews>
  <sheetFormatPr defaultRowHeight="15" outlineLevelRow="0" outlineLevelCol="0" x14ac:dyDescent="55"/>
  <cols>
    <col min="1" max="1" width="2.5" customWidth="1"/>
    <col min="2" max="2" width="26" customWidth="1"/>
    <col min="3" max="3" width="34" customWidth="1"/>
    <col min="4" max="4" width="16" customWidth="1"/>
    <col min="5" max="5" width="12" customWidth="1"/>
    <col min="6" max="6" width="20" customWidth="1"/>
  </cols>
  <sheetData>
    <row r="1" ht="5" customHeight="1" spans="1:6" x14ac:dyDescent="0.25">
      <c r="A1" s="1"/>
      <c r="B1" s="1"/>
      <c r="C1" s="1"/>
      <c r="D1" s="1"/>
      <c r="E1" s="1"/>
      <c r="F1" s="1"/>
    </row>
    <row r="2" ht="34" customHeight="1" spans="1:6" x14ac:dyDescent="0.25">
      <c r="A2" s="1"/>
      <c r="B2" s="2" t="s">
        <v>0</v>
      </c>
      <c r="C2" s="2"/>
      <c r="D2" s="2"/>
      <c r="E2" s="2"/>
      <c r="F2" s="2"/>
    </row>
    <row r="3" ht="20" customHeight="1" spans="1:6" x14ac:dyDescent="0.25">
      <c r="A3" s="1"/>
      <c r="B3" s="3" t="s">
        <v>1</v>
      </c>
      <c r="C3" s="3"/>
      <c r="D3" s="3"/>
      <c r="E3" s="3"/>
      <c r="F3" s="3"/>
    </row>
    <row r="4" ht="3" customHeight="1" spans="1:6" x14ac:dyDescent="0.25">
      <c r="A4" s="1"/>
      <c r="B4" s="1"/>
      <c r="C4" s="1"/>
      <c r="D4" s="1"/>
      <c r="E4" s="1"/>
      <c r="F4" s="1"/>
    </row>
    <row r="5" ht="6" customHeight="1" x14ac:dyDescent="0.25"/>
    <row r="6" ht="28" customHeight="1" spans="1:6" x14ac:dyDescent="0.25">
      <c r="A6" s="4"/>
      <c r="B6" s="5" t="s">
        <v>2</v>
      </c>
      <c r="C6" s="6" t="s">
        <v>3</v>
      </c>
      <c r="D6" s="6"/>
      <c r="E6" s="6"/>
      <c r="F6" s="6"/>
    </row>
    <row r="7" ht="21" customHeight="1" spans="1:6" x14ac:dyDescent="0.25">
      <c r="A7" s="1"/>
      <c r="B7" s="7" t="s">
        <v>4</v>
      </c>
      <c r="C7" s="8" t="s">
        <v>5</v>
      </c>
      <c r="D7" s="8"/>
      <c r="E7" s="8"/>
      <c r="F7" s="8"/>
    </row>
    <row r="8" ht="21" customHeight="1" spans="1:6" x14ac:dyDescent="0.25">
      <c r="A8" s="1"/>
      <c r="B8" s="9" t="s">
        <v>6</v>
      </c>
      <c r="C8" s="10" t="s">
        <v>7</v>
      </c>
      <c r="D8" s="10"/>
      <c r="E8" s="10"/>
      <c r="F8" s="10"/>
    </row>
    <row r="9" ht="21" customHeight="1" spans="1:6" x14ac:dyDescent="0.25">
      <c r="A9" s="1"/>
      <c r="B9" s="7" t="s">
        <v>8</v>
      </c>
      <c r="C9" s="8" t="s">
        <v>0</v>
      </c>
      <c r="D9" s="8"/>
      <c r="E9" s="8"/>
      <c r="F9" s="8"/>
    </row>
    <row r="10" ht="21" customHeight="1" spans="1:6" x14ac:dyDescent="0.25">
      <c r="A10" s="1"/>
      <c r="B10" s="9" t="s">
        <v>9</v>
      </c>
      <c r="C10" s="10" t="s">
        <v>10</v>
      </c>
      <c r="D10" s="10"/>
      <c r="E10" s="10"/>
      <c r="F10" s="10"/>
    </row>
    <row r="11" ht="21" customHeight="1" spans="1:6" x14ac:dyDescent="0.25">
      <c r="A11" s="1"/>
      <c r="B11" s="7" t="s">
        <v>11</v>
      </c>
      <c r="C11" s="8" t="s">
        <v>12</v>
      </c>
      <c r="D11" s="8"/>
      <c r="E11" s="8"/>
      <c r="F11" s="8"/>
    </row>
    <row r="12" ht="21" customHeight="1" spans="1:6" x14ac:dyDescent="0.25">
      <c r="A12" s="1"/>
      <c r="B12" s="9" t="s">
        <v>13</v>
      </c>
      <c r="C12" s="10" t="s">
        <v>14</v>
      </c>
      <c r="D12" s="10"/>
      <c r="E12" s="10"/>
      <c r="F12" s="10"/>
    </row>
    <row r="13" ht="21" customHeight="1" spans="1:6" x14ac:dyDescent="0.25">
      <c r="A13" s="1"/>
      <c r="B13" s="7" t="s">
        <v>15</v>
      </c>
      <c r="C13" s="8" t="s">
        <v>16</v>
      </c>
      <c r="D13" s="8"/>
      <c r="E13" s="8"/>
      <c r="F13" s="8"/>
    </row>
    <row r="14" ht="21" customHeight="1" spans="1:6" x14ac:dyDescent="0.25">
      <c r="A14" s="1"/>
      <c r="B14" s="9" t="s">
        <v>17</v>
      </c>
      <c r="C14" s="10" t="s">
        <v>18</v>
      </c>
      <c r="D14" s="10"/>
      <c r="E14" s="10"/>
      <c r="F14" s="10"/>
    </row>
    <row r="15" ht="21" customHeight="1" spans="1:6" x14ac:dyDescent="0.25">
      <c r="A15" s="1"/>
      <c r="B15" s="7" t="s">
        <v>19</v>
      </c>
      <c r="C15" s="8" t="s">
        <v>20</v>
      </c>
      <c r="D15" s="8"/>
      <c r="E15" s="8"/>
      <c r="F15" s="8"/>
    </row>
    <row r="16" ht="8" customHeight="1" x14ac:dyDescent="0.25"/>
    <row r="17" ht="28" customHeight="1" spans="1:6" x14ac:dyDescent="0.25">
      <c r="A17" s="4"/>
      <c r="B17" s="5" t="s">
        <v>21</v>
      </c>
      <c r="C17" s="6" t="s">
        <v>22</v>
      </c>
      <c r="D17" s="6"/>
      <c r="E17" s="11" t="s">
        <v>23</v>
      </c>
      <c r="F17" s="11"/>
    </row>
    <row r="18" ht="21" customHeight="1" spans="1:6" x14ac:dyDescent="0.25">
      <c r="A18" s="1"/>
      <c r="B18" s="7" t="s">
        <v>24</v>
      </c>
      <c r="C18" s="8" t="s">
        <v>25</v>
      </c>
      <c r="D18" s="8"/>
      <c r="E18" s="8"/>
      <c r="F18" s="8"/>
    </row>
    <row r="19" ht="21" customHeight="1" spans="1:6" x14ac:dyDescent="0.25">
      <c r="A19" s="1"/>
      <c r="B19" s="9" t="s">
        <v>26</v>
      </c>
      <c r="C19" s="10" t="s">
        <v>27</v>
      </c>
      <c r="D19" s="10"/>
      <c r="E19" s="10"/>
      <c r="F19" s="10"/>
    </row>
    <row r="20" ht="8" customHeight="1" x14ac:dyDescent="0.25"/>
    <row r="21" ht="28" customHeight="1" spans="1:6" x14ac:dyDescent="0.25">
      <c r="A21" s="4"/>
      <c r="B21" s="5" t="s">
        <v>28</v>
      </c>
      <c r="C21" s="6" t="s">
        <v>29</v>
      </c>
      <c r="D21" s="6"/>
      <c r="E21" s="6"/>
      <c r="F21" s="6"/>
    </row>
    <row r="22" ht="28" customHeight="1" spans="1:6" x14ac:dyDescent="0.25">
      <c r="A22" s="1"/>
      <c r="B22" s="12" t="s">
        <v>30</v>
      </c>
      <c r="C22" s="13" t="s">
        <v>31</v>
      </c>
      <c r="D22" s="12" t="s">
        <v>32</v>
      </c>
      <c r="E22" s="13" t="s">
        <v>33</v>
      </c>
      <c r="F22" s="14" t="s">
        <v>34</v>
      </c>
    </row>
    <row r="23" ht="20" customHeight="1" spans="1:6" x14ac:dyDescent="0.25">
      <c r="A23" s="1"/>
      <c r="B23" s="15" t="s">
        <v>35</v>
      </c>
      <c r="C23" s="16" t="s">
        <v>36</v>
      </c>
      <c r="D23" s="17">
        <v>5</v>
      </c>
      <c r="E23" s="16"/>
      <c r="F23" s="18">
        <f>'Bill of Quantities'!G14</f>
      </c>
    </row>
    <row r="24" ht="20" customHeight="1" spans="1:6" x14ac:dyDescent="0.25">
      <c r="A24" s="1"/>
      <c r="B24" s="19"/>
      <c r="C24" s="20" t="s">
        <v>37</v>
      </c>
      <c r="D24" s="20"/>
      <c r="E24" s="20"/>
      <c r="F24" s="21">
        <f>SUM(F23:F23)</f>
      </c>
    </row>
    <row r="25" ht="8" customHeight="1" x14ac:dyDescent="0.25"/>
    <row r="26" ht="28" customHeight="1" spans="1:6" x14ac:dyDescent="0.25">
      <c r="A26" s="4"/>
      <c r="B26" s="5" t="s">
        <v>38</v>
      </c>
      <c r="C26" s="6" t="s">
        <v>39</v>
      </c>
      <c r="D26" s="6"/>
      <c r="E26" s="6"/>
      <c r="F26" s="6"/>
    </row>
    <row r="27" ht="28" customHeight="1" spans="1:6" x14ac:dyDescent="0.25">
      <c r="A27" s="1"/>
      <c r="B27" s="13" t="s">
        <v>33</v>
      </c>
      <c r="C27" s="13" t="s">
        <v>40</v>
      </c>
      <c r="D27" s="13" t="s">
        <v>33</v>
      </c>
      <c r="E27" s="14" t="s">
        <v>41</v>
      </c>
      <c r="F27" s="14" t="s">
        <v>34</v>
      </c>
    </row>
    <row r="28" ht="19" customHeight="1" spans="1:6" x14ac:dyDescent="0.25">
      <c r="A28" s="1"/>
      <c r="B28" s="16" t="s">
        <v>42</v>
      </c>
      <c r="C28" s="22" t="s">
        <v>43</v>
      </c>
      <c r="D28" s="22"/>
      <c r="E28" s="16"/>
      <c r="F28" s="18">
        <f>'Takeoff'!K25</f>
        <v>1556.03</v>
      </c>
    </row>
    <row r="29" ht="19" customHeight="1" spans="1:6" x14ac:dyDescent="0.25">
      <c r="A29" s="1"/>
      <c r="B29" s="23" t="s">
        <v>44</v>
      </c>
      <c r="C29" s="24" t="s">
        <v>45</v>
      </c>
      <c r="D29" s="24"/>
      <c r="E29" s="25">
        <v>0.05</v>
      </c>
      <c r="F29" s="26">
        <f>F28*E29</f>
        <v>77.8</v>
      </c>
    </row>
    <row r="30" ht="19" customHeight="1" spans="1:6" x14ac:dyDescent="0.25">
      <c r="A30" s="1"/>
      <c r="B30" s="16" t="s">
        <v>46</v>
      </c>
      <c r="C30" s="22" t="s">
        <v>47</v>
      </c>
      <c r="D30" s="22"/>
      <c r="E30" s="16"/>
      <c r="F30" s="18">
        <v>0</v>
      </c>
    </row>
    <row r="31" ht="22" customHeight="1" spans="1:6" x14ac:dyDescent="0.25">
      <c r="A31" s="1"/>
      <c r="B31" s="27" t="s">
        <v>48</v>
      </c>
      <c r="C31" s="28" t="s">
        <v>33</v>
      </c>
      <c r="D31" s="28"/>
      <c r="E31" s="29"/>
      <c r="F31" s="21">
        <f>F28+F29+F30</f>
        <v>1633.84</v>
      </c>
    </row>
    <row r="32" ht="19" customHeight="1" spans="1:6" x14ac:dyDescent="0.25">
      <c r="A32" s="1"/>
      <c r="B32" s="16" t="s">
        <v>49</v>
      </c>
      <c r="C32" s="22" t="s">
        <v>50</v>
      </c>
      <c r="D32" s="22"/>
      <c r="E32" s="30">
        <v>0.03</v>
      </c>
      <c r="F32" s="18">
        <f>F31*E32</f>
        <v>49.02</v>
      </c>
    </row>
    <row r="33" ht="19" customHeight="1" spans="1:6" x14ac:dyDescent="0.25">
      <c r="A33" s="1"/>
      <c r="B33" s="23" t="s">
        <v>51</v>
      </c>
      <c r="C33" s="24" t="s">
        <v>52</v>
      </c>
      <c r="D33" s="24"/>
      <c r="E33" s="25">
        <v>0.07</v>
      </c>
      <c r="F33" s="26">
        <f>(F31+F32)*E33</f>
        <v>117.8</v>
      </c>
    </row>
    <row r="34" ht="19" customHeight="1" spans="1:6" x14ac:dyDescent="0.25">
      <c r="A34" s="1"/>
      <c r="B34" s="16" t="s">
        <v>53</v>
      </c>
      <c r="C34" s="22" t="s">
        <v>33</v>
      </c>
      <c r="D34" s="22"/>
      <c r="E34" s="30">
        <v>0.1</v>
      </c>
      <c r="F34" s="18">
        <f>(F31+F32+F33)*E34</f>
        <v>180.07</v>
      </c>
    </row>
    <row r="35" ht="22" customHeight="1" spans="1:6" x14ac:dyDescent="0.25">
      <c r="A35" s="1"/>
      <c r="B35" s="27" t="s">
        <v>54</v>
      </c>
      <c r="C35" s="28" t="s">
        <v>33</v>
      </c>
      <c r="D35" s="28"/>
      <c r="E35" s="29"/>
      <c r="F35" s="21">
        <f>F31+F32+F33+F34</f>
        <v>1980.72</v>
      </c>
    </row>
    <row r="36" ht="19" customHeight="1" spans="1:6" x14ac:dyDescent="0.25">
      <c r="A36" s="1"/>
      <c r="B36" s="16" t="s">
        <v>55</v>
      </c>
      <c r="C36" s="22" t="s">
        <v>33</v>
      </c>
      <c r="D36" s="22"/>
      <c r="E36" s="30">
        <v>0.05</v>
      </c>
      <c r="F36" s="18">
        <f>F35*E36</f>
        <v>99.04</v>
      </c>
    </row>
    <row r="37" ht="22" customHeight="1" spans="1:6" x14ac:dyDescent="0.25">
      <c r="A37" s="1"/>
      <c r="B37" s="31" t="s">
        <v>56</v>
      </c>
      <c r="C37" s="32" t="s">
        <v>33</v>
      </c>
      <c r="D37" s="32"/>
      <c r="E37" s="33"/>
      <c r="F37" s="34">
        <f>F35+F36</f>
        <v>2079.75</v>
      </c>
    </row>
    <row r="38" ht="8" customHeight="1" x14ac:dyDescent="0.25"/>
    <row r="39" ht="28" customHeight="1" spans="1:6" x14ac:dyDescent="0.25">
      <c r="A39" s="4"/>
      <c r="B39" s="5" t="s">
        <v>57</v>
      </c>
      <c r="C39" s="6" t="s">
        <v>58</v>
      </c>
      <c r="D39" s="6"/>
      <c r="E39" s="6"/>
      <c r="F39" s="6"/>
    </row>
    <row r="40" ht="21" customHeight="1" spans="1:6" x14ac:dyDescent="0.25">
      <c r="A40" s="1"/>
      <c r="B40" s="7" t="s">
        <v>59</v>
      </c>
      <c r="C40" s="8" t="s">
        <v>60</v>
      </c>
      <c r="D40" s="8"/>
      <c r="E40" s="8"/>
      <c r="F40" s="8"/>
    </row>
    <row r="41" ht="21" customHeight="1" spans="1:6" x14ac:dyDescent="0.25">
      <c r="A41" s="1"/>
      <c r="B41" s="9" t="s">
        <v>61</v>
      </c>
      <c r="C41" s="10" t="s">
        <v>62</v>
      </c>
      <c r="D41" s="10"/>
      <c r="E41" s="10"/>
      <c r="F41" s="10"/>
    </row>
    <row r="42" ht="21" customHeight="1" spans="1:6" x14ac:dyDescent="0.25">
      <c r="A42" s="1"/>
      <c r="B42" s="7" t="s">
        <v>63</v>
      </c>
      <c r="C42" s="8" t="s">
        <v>64</v>
      </c>
      <c r="D42" s="8"/>
      <c r="E42" s="8"/>
      <c r="F42" s="8"/>
    </row>
    <row r="43" ht="21" customHeight="1" spans="1:6" x14ac:dyDescent="0.25">
      <c r="A43" s="1"/>
      <c r="B43" s="9" t="s">
        <v>65</v>
      </c>
      <c r="C43" s="10" t="s">
        <v>66</v>
      </c>
      <c r="D43" s="10"/>
      <c r="E43" s="10"/>
      <c r="F43" s="10"/>
    </row>
    <row r="44" ht="21" customHeight="1" spans="1:6" x14ac:dyDescent="0.25">
      <c r="A44" s="1"/>
      <c r="B44" s="7" t="s">
        <v>67</v>
      </c>
      <c r="C44" s="8" t="s">
        <v>68</v>
      </c>
      <c r="D44" s="8"/>
      <c r="E44" s="8"/>
      <c r="F44" s="8"/>
    </row>
    <row r="45" ht="21" customHeight="1" spans="1:6" x14ac:dyDescent="0.25">
      <c r="A45" s="1"/>
      <c r="B45" s="9" t="s">
        <v>69</v>
      </c>
      <c r="C45" s="10" t="s">
        <v>70</v>
      </c>
      <c r="D45" s="10"/>
      <c r="E45" s="10"/>
      <c r="F45" s="10"/>
    </row>
    <row r="47" ht="4" customHeight="1" spans="1:6" x14ac:dyDescent="0.25">
      <c r="A47" s="1"/>
      <c r="B47" s="1"/>
      <c r="C47" s="1"/>
      <c r="D47" s="1"/>
      <c r="E47" s="1"/>
      <c r="F47" s="1"/>
    </row>
    <row r="48" ht="20" customHeight="1" spans="1:6" x14ac:dyDescent="0.25">
      <c r="A48" s="35" t="s">
        <v>71</v>
      </c>
      <c r="B48" s="35"/>
      <c r="C48" s="35"/>
      <c r="D48" s="35"/>
      <c r="E48" s="35"/>
      <c r="F48" s="35"/>
    </row>
  </sheetData>
  <mergeCells count="37">
    <mergeCell ref="B2:F2"/>
    <mergeCell ref="B3:F3"/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17:D17"/>
    <mergeCell ref="E17:F17"/>
    <mergeCell ref="C18:F18"/>
    <mergeCell ref="C19:F19"/>
    <mergeCell ref="C21:F21"/>
    <mergeCell ref="C24:E24"/>
    <mergeCell ref="C26:F26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9:F39"/>
    <mergeCell ref="C40:F40"/>
    <mergeCell ref="C41:F41"/>
    <mergeCell ref="C42:F42"/>
    <mergeCell ref="C43:F43"/>
    <mergeCell ref="C44:F44"/>
    <mergeCell ref="C45:F45"/>
    <mergeCell ref="A48:F48"/>
  </mergeCells>
  <pageMargins left="0.4" right="0.4" top="0.5" bottom="0.5" header="0.2" footer="0.2"/>
  <pageSetup paperSize="9"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8962E"/>
    <pageSetUpPr fitToPage="1"/>
  </sheetPr>
  <dimension ref="A1:M30"/>
  <sheetViews>
    <sheetView workbookViewId="0" showGridLines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2.5" customWidth="1"/>
    <col min="2" max="2" width="7" customWidth="1"/>
    <col min="3" max="3" width="41" customWidth="1"/>
    <col min="4" max="4" width="34" customWidth="1"/>
    <col min="5" max="5" width="6" customWidth="1"/>
    <col min="6" max="6" width="8" customWidth="1"/>
    <col min="7" max="7" width="24" customWidth="1"/>
    <col min="8" max="8" width="12" customWidth="1"/>
    <col min="9" max="9" width="7" customWidth="1"/>
    <col min="10" max="10" width="13" customWidth="1"/>
    <col min="11" max="11" width="15" customWidth="1"/>
    <col min="12" max="12" width="34" customWidth="1"/>
    <col min="13" max="13" width="9" hidden="1" customWidth="1"/>
  </cols>
  <sheetData>
    <row r="1" ht="5" customHeight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4" customHeight="1" spans="1:12" x14ac:dyDescent="0.25">
      <c r="A2" s="1"/>
      <c r="B2" s="2" t="s">
        <v>72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0" customHeight="1" spans="1:12" x14ac:dyDescent="0.25">
      <c r="A3" s="1"/>
      <c r="B3" s="3" t="s">
        <v>73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ht="3" customHeight="1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30" customHeight="1" spans="1:12" x14ac:dyDescent="0.25">
      <c r="A5" s="1"/>
      <c r="B5" s="36" t="s">
        <v>74</v>
      </c>
      <c r="C5" s="36"/>
      <c r="D5" s="36"/>
      <c r="E5" s="36"/>
      <c r="F5" s="36"/>
      <c r="G5" s="36"/>
      <c r="H5" s="36"/>
      <c r="I5" s="36"/>
      <c r="J5" s="36"/>
      <c r="K5" s="36"/>
      <c r="L5" s="36"/>
    </row>
    <row r="6" ht="6" customHeight="1" x14ac:dyDescent="0.25"/>
    <row r="7" ht="28" customHeight="1" spans="1:12" x14ac:dyDescent="0.25">
      <c r="A7" s="1"/>
      <c r="B7" s="12" t="s">
        <v>75</v>
      </c>
      <c r="C7" s="13" t="s">
        <v>31</v>
      </c>
      <c r="D7" s="13" t="s">
        <v>76</v>
      </c>
      <c r="E7" s="12" t="s">
        <v>77</v>
      </c>
      <c r="F7" s="12" t="s">
        <v>78</v>
      </c>
      <c r="G7" s="13" t="s">
        <v>79</v>
      </c>
      <c r="H7" s="14" t="s">
        <v>80</v>
      </c>
      <c r="I7" s="12" t="s">
        <v>81</v>
      </c>
      <c r="J7" s="14" t="s">
        <v>82</v>
      </c>
      <c r="K7" s="14" t="s">
        <v>34</v>
      </c>
      <c r="L7" s="13" t="s">
        <v>83</v>
      </c>
    </row>
    <row r="8" ht="22" customHeight="1" spans="1:13" x14ac:dyDescent="0.25">
      <c r="A8" s="1"/>
      <c r="B8" s="37" t="s">
        <v>84</v>
      </c>
      <c r="C8" s="38" t="s">
        <v>85</v>
      </c>
      <c r="D8" s="39" t="s">
        <v>25</v>
      </c>
      <c r="E8" s="38"/>
      <c r="F8" s="38"/>
      <c r="G8" s="38"/>
      <c r="H8" s="38"/>
      <c r="I8" s="38"/>
      <c r="J8" s="38"/>
      <c r="K8" s="40">
        <f>SUM(K9:K10)</f>
      </c>
      <c r="L8" s="38" t="s">
        <v>33</v>
      </c>
      <c r="M8">
        <v>1</v>
      </c>
    </row>
    <row r="9" ht="18" customHeight="1" spans="1:12" x14ac:dyDescent="0.25">
      <c r="A9" s="1"/>
      <c r="B9" s="15" t="s">
        <v>86</v>
      </c>
      <c r="C9" s="41" t="s">
        <v>87</v>
      </c>
      <c r="D9" s="42" t="s">
        <v>25</v>
      </c>
      <c r="E9" s="43">
        <v>1</v>
      </c>
      <c r="F9" s="43" t="s">
        <v>88</v>
      </c>
      <c r="G9" s="16" t="s">
        <v>89</v>
      </c>
      <c r="H9" s="44">
        <v>2.047494048946897</v>
      </c>
      <c r="I9" s="45" t="s">
        <v>90</v>
      </c>
      <c r="J9" s="46">
        <v>100</v>
      </c>
      <c r="K9" s="18">
        <f>H9*J9</f>
      </c>
      <c r="L9" s="47" t="s">
        <v>33</v>
      </c>
    </row>
    <row r="10" ht="18" customHeight="1" spans="1:12" x14ac:dyDescent="0.25">
      <c r="A10" s="1"/>
      <c r="B10" s="48" t="s">
        <v>91</v>
      </c>
      <c r="C10" s="49" t="s">
        <v>87</v>
      </c>
      <c r="D10" s="50" t="s">
        <v>25</v>
      </c>
      <c r="E10" s="51">
        <v>1</v>
      </c>
      <c r="F10" s="51" t="s">
        <v>88</v>
      </c>
      <c r="G10" s="23" t="s">
        <v>92</v>
      </c>
      <c r="H10" s="52">
        <v>4.0849</v>
      </c>
      <c r="I10" s="53" t="s">
        <v>90</v>
      </c>
      <c r="J10" s="54">
        <v>30</v>
      </c>
      <c r="K10" s="26">
        <f>H10*J10</f>
      </c>
      <c r="L10" s="55" t="s">
        <v>93</v>
      </c>
    </row>
    <row r="11" ht="22" customHeight="1" spans="1:13" x14ac:dyDescent="0.25">
      <c r="A11" s="1"/>
      <c r="B11" s="37" t="s">
        <v>94</v>
      </c>
      <c r="C11" s="38" t="s">
        <v>95</v>
      </c>
      <c r="D11" s="39" t="s">
        <v>25</v>
      </c>
      <c r="E11" s="38"/>
      <c r="F11" s="38"/>
      <c r="G11" s="38"/>
      <c r="H11" s="38"/>
      <c r="I11" s="38"/>
      <c r="J11" s="38"/>
      <c r="K11" s="40">
        <f>SUM(K12:K15)</f>
      </c>
      <c r="L11" s="38" t="s">
        <v>33</v>
      </c>
      <c r="M11">
        <v>1</v>
      </c>
    </row>
    <row r="12" ht="18" customHeight="1" spans="1:12" x14ac:dyDescent="0.25">
      <c r="A12" s="1"/>
      <c r="B12" s="15" t="s">
        <v>96</v>
      </c>
      <c r="C12" s="41" t="s">
        <v>97</v>
      </c>
      <c r="D12" s="42" t="s">
        <v>25</v>
      </c>
      <c r="E12" s="43">
        <v>1</v>
      </c>
      <c r="F12" s="43" t="s">
        <v>88</v>
      </c>
      <c r="G12" s="16" t="s">
        <v>98</v>
      </c>
      <c r="H12" s="44">
        <v>2.0533387418320483</v>
      </c>
      <c r="I12" s="45" t="s">
        <v>90</v>
      </c>
      <c r="J12" s="46">
        <v>41.35416666666667</v>
      </c>
      <c r="K12" s="18">
        <f>H12*J12</f>
      </c>
      <c r="L12" s="47" t="s">
        <v>33</v>
      </c>
    </row>
    <row r="13" ht="18" customHeight="1" spans="1:12" x14ac:dyDescent="0.25">
      <c r="A13" s="1"/>
      <c r="B13" s="48" t="s">
        <v>99</v>
      </c>
      <c r="C13" s="49" t="s">
        <v>100</v>
      </c>
      <c r="D13" s="50" t="s">
        <v>25</v>
      </c>
      <c r="E13" s="51">
        <v>1</v>
      </c>
      <c r="F13" s="51" t="s">
        <v>88</v>
      </c>
      <c r="G13" s="23" t="s">
        <v>92</v>
      </c>
      <c r="H13" s="52">
        <v>2.052393185498614</v>
      </c>
      <c r="I13" s="53" t="s">
        <v>90</v>
      </c>
      <c r="J13" s="54">
        <v>30</v>
      </c>
      <c r="K13" s="26">
        <f>H13*J13</f>
      </c>
      <c r="L13" s="55" t="s">
        <v>33</v>
      </c>
    </row>
    <row r="14" ht="18" customHeight="1" spans="1:12" x14ac:dyDescent="0.25">
      <c r="A14" s="1"/>
      <c r="B14" s="15" t="s">
        <v>101</v>
      </c>
      <c r="C14" s="41" t="s">
        <v>102</v>
      </c>
      <c r="D14" s="42" t="s">
        <v>25</v>
      </c>
      <c r="E14" s="43">
        <v>1</v>
      </c>
      <c r="F14" s="43" t="s">
        <v>88</v>
      </c>
      <c r="G14" s="16" t="s">
        <v>103</v>
      </c>
      <c r="H14" s="44">
        <v>0.3164830600589758</v>
      </c>
      <c r="I14" s="45" t="s">
        <v>90</v>
      </c>
      <c r="J14" s="46">
        <v>140</v>
      </c>
      <c r="K14" s="18">
        <f>H14*J14</f>
      </c>
      <c r="L14" s="47" t="s">
        <v>33</v>
      </c>
    </row>
    <row r="15" ht="18" customHeight="1" spans="1:12" x14ac:dyDescent="0.25">
      <c r="A15" s="1"/>
      <c r="B15" s="48" t="s">
        <v>104</v>
      </c>
      <c r="C15" s="49" t="s">
        <v>105</v>
      </c>
      <c r="D15" s="50" t="s">
        <v>25</v>
      </c>
      <c r="E15" s="51">
        <v>1</v>
      </c>
      <c r="F15" s="51" t="s">
        <v>88</v>
      </c>
      <c r="G15" s="23" t="s">
        <v>92</v>
      </c>
      <c r="H15" s="52">
        <v>0.334127337497218</v>
      </c>
      <c r="I15" s="53" t="s">
        <v>90</v>
      </c>
      <c r="J15" s="54">
        <v>30</v>
      </c>
      <c r="K15" s="26">
        <f>H15*J15</f>
      </c>
      <c r="L15" s="55" t="s">
        <v>33</v>
      </c>
    </row>
    <row r="16" ht="22" customHeight="1" spans="1:13" x14ac:dyDescent="0.25">
      <c r="A16" s="1"/>
      <c r="B16" s="37" t="s">
        <v>106</v>
      </c>
      <c r="C16" s="38" t="s">
        <v>95</v>
      </c>
      <c r="D16" s="39" t="s">
        <v>27</v>
      </c>
      <c r="E16" s="38"/>
      <c r="F16" s="38"/>
      <c r="G16" s="38"/>
      <c r="H16" s="38"/>
      <c r="I16" s="38"/>
      <c r="J16" s="38"/>
      <c r="K16" s="40">
        <v>0</v>
      </c>
      <c r="L16" s="38" t="s">
        <v>33</v>
      </c>
      <c r="M16">
        <v>1</v>
      </c>
    </row>
    <row r="17" ht="22" customHeight="1" spans="1:13" x14ac:dyDescent="0.25">
      <c r="A17" s="1"/>
      <c r="B17" s="37" t="s">
        <v>107</v>
      </c>
      <c r="C17" s="38" t="s">
        <v>108</v>
      </c>
      <c r="D17" s="39" t="s">
        <v>27</v>
      </c>
      <c r="E17" s="38"/>
      <c r="F17" s="38"/>
      <c r="G17" s="38"/>
      <c r="H17" s="38"/>
      <c r="I17" s="38"/>
      <c r="J17" s="38"/>
      <c r="K17" s="40">
        <f>SUM(K18:K18)</f>
      </c>
      <c r="L17" s="38" t="s">
        <v>33</v>
      </c>
      <c r="M17">
        <v>1</v>
      </c>
    </row>
    <row r="18" ht="18" customHeight="1" spans="1:12" x14ac:dyDescent="0.25">
      <c r="A18" s="1"/>
      <c r="B18" s="15" t="s">
        <v>109</v>
      </c>
      <c r="C18" s="41" t="s">
        <v>110</v>
      </c>
      <c r="D18" s="42" t="s">
        <v>27</v>
      </c>
      <c r="E18" s="43">
        <v>1</v>
      </c>
      <c r="F18" s="43" t="s">
        <v>88</v>
      </c>
      <c r="G18" s="16" t="s">
        <v>111</v>
      </c>
      <c r="H18" s="44">
        <v>0.008395739220138917</v>
      </c>
      <c r="I18" s="45" t="s">
        <v>90</v>
      </c>
      <c r="J18" s="56">
        <v>0</v>
      </c>
      <c r="K18" s="18">
        <f>H18*J18</f>
      </c>
      <c r="L18" s="47" t="s">
        <v>33</v>
      </c>
    </row>
    <row r="19" ht="22" customHeight="1" spans="1:13" x14ac:dyDescent="0.25">
      <c r="A19" s="1"/>
      <c r="B19" s="37" t="s">
        <v>112</v>
      </c>
      <c r="C19" s="38" t="s">
        <v>108</v>
      </c>
      <c r="D19" s="39" t="s">
        <v>25</v>
      </c>
      <c r="E19" s="38"/>
      <c r="F19" s="38"/>
      <c r="G19" s="38"/>
      <c r="H19" s="38"/>
      <c r="I19" s="38"/>
      <c r="J19" s="38"/>
      <c r="K19" s="40">
        <f>SUM(K20:K22)</f>
      </c>
      <c r="L19" s="38" t="s">
        <v>33</v>
      </c>
      <c r="M19">
        <v>1</v>
      </c>
    </row>
    <row r="20" ht="18" customHeight="1" spans="1:12" x14ac:dyDescent="0.25">
      <c r="A20" s="1"/>
      <c r="B20" s="15" t="s">
        <v>113</v>
      </c>
      <c r="C20" s="41" t="s">
        <v>114</v>
      </c>
      <c r="D20" s="42" t="s">
        <v>25</v>
      </c>
      <c r="E20" s="43">
        <v>1</v>
      </c>
      <c r="F20" s="43" t="s">
        <v>115</v>
      </c>
      <c r="G20" s="16" t="s">
        <v>111</v>
      </c>
      <c r="H20" s="44">
        <v>5.3324</v>
      </c>
      <c r="I20" s="45" t="s">
        <v>116</v>
      </c>
      <c r="J20" s="46">
        <v>57</v>
      </c>
      <c r="K20" s="18">
        <f>H20*J20</f>
      </c>
      <c r="L20" s="47" t="s">
        <v>33</v>
      </c>
    </row>
    <row r="21" ht="18" customHeight="1" spans="1:12" x14ac:dyDescent="0.25">
      <c r="A21" s="1"/>
      <c r="B21" s="48" t="s">
        <v>117</v>
      </c>
      <c r="C21" s="49" t="s">
        <v>118</v>
      </c>
      <c r="D21" s="50" t="s">
        <v>25</v>
      </c>
      <c r="E21" s="51">
        <v>1</v>
      </c>
      <c r="F21" s="51" t="s">
        <v>115</v>
      </c>
      <c r="G21" s="23" t="s">
        <v>92</v>
      </c>
      <c r="H21" s="52">
        <v>2.1992</v>
      </c>
      <c r="I21" s="53" t="s">
        <v>116</v>
      </c>
      <c r="J21" s="54">
        <v>30</v>
      </c>
      <c r="K21" s="26">
        <f>H21*J21</f>
      </c>
      <c r="L21" s="55" t="s">
        <v>33</v>
      </c>
    </row>
    <row r="22" ht="18" customHeight="1" spans="1:12" x14ac:dyDescent="0.25">
      <c r="A22" s="1"/>
      <c r="B22" s="15" t="s">
        <v>119</v>
      </c>
      <c r="C22" s="41" t="s">
        <v>120</v>
      </c>
      <c r="D22" s="42" t="s">
        <v>25</v>
      </c>
      <c r="E22" s="43">
        <v>1</v>
      </c>
      <c r="F22" s="43" t="s">
        <v>115</v>
      </c>
      <c r="G22" s="16" t="s">
        <v>92</v>
      </c>
      <c r="H22" s="44">
        <v>0.2666</v>
      </c>
      <c r="I22" s="45" t="s">
        <v>116</v>
      </c>
      <c r="J22" s="46">
        <v>30</v>
      </c>
      <c r="K22" s="18">
        <f>H22*J22</f>
      </c>
      <c r="L22" s="47" t="s">
        <v>33</v>
      </c>
    </row>
    <row r="23" ht="18" customHeight="1" spans="1:13" x14ac:dyDescent="0.25">
      <c r="A23" s="1"/>
      <c r="B23" s="48" t="s">
        <v>121</v>
      </c>
      <c r="C23" s="49" t="s">
        <v>122</v>
      </c>
      <c r="D23" s="50" t="s">
        <v>25</v>
      </c>
      <c r="E23" s="51" t="s">
        <v>33</v>
      </c>
      <c r="F23" s="51" t="s">
        <v>123</v>
      </c>
      <c r="G23" s="57" t="s">
        <v>20</v>
      </c>
      <c r="H23" s="52">
        <v>1</v>
      </c>
      <c r="I23" s="53" t="s">
        <v>124</v>
      </c>
      <c r="J23" s="54">
        <v>650</v>
      </c>
      <c r="K23" s="26">
        <f>H23*J23</f>
      </c>
      <c r="L23" s="55" t="s">
        <v>33</v>
      </c>
      <c r="M23">
        <v>1</v>
      </c>
    </row>
    <row r="25" ht="20" customHeight="1" spans="1:12" x14ac:dyDescent="0.25">
      <c r="A25" s="1"/>
      <c r="B25" s="19"/>
      <c r="C25" s="19"/>
      <c r="D25" s="19"/>
      <c r="E25" s="19"/>
      <c r="F25" s="19"/>
      <c r="G25" s="19"/>
      <c r="H25" s="19"/>
      <c r="I25" s="19"/>
      <c r="J25" s="20" t="s">
        <v>125</v>
      </c>
      <c r="K25" s="21">
        <f>SUMIF(M8:M23,1,K8:K23)</f>
      </c>
      <c r="L25" s="19"/>
    </row>
    <row r="26" ht="20" customHeight="1" spans="1:12" x14ac:dyDescent="0.25">
      <c r="A26" s="1"/>
      <c r="B26" s="58"/>
      <c r="C26" s="58"/>
      <c r="D26" s="58"/>
      <c r="E26" s="58"/>
      <c r="F26" s="58"/>
      <c r="G26" s="58"/>
      <c r="H26" s="58"/>
      <c r="I26" s="58"/>
      <c r="J26" s="59" t="s">
        <v>126</v>
      </c>
      <c r="K26" s="60">
        <f>K25*5/100</f>
      </c>
      <c r="L26" s="58"/>
    </row>
    <row r="27" ht="26" customHeight="1" spans="1:12" x14ac:dyDescent="0.25">
      <c r="A27" s="1"/>
      <c r="B27" s="61"/>
      <c r="C27" s="61"/>
      <c r="D27" s="61"/>
      <c r="E27" s="61"/>
      <c r="F27" s="61"/>
      <c r="G27" s="61"/>
      <c r="H27" s="61"/>
      <c r="I27" s="61"/>
      <c r="J27" s="62" t="s">
        <v>56</v>
      </c>
      <c r="K27" s="63">
        <f>K25+K26</f>
      </c>
      <c r="L27" s="61"/>
    </row>
    <row r="29" ht="4" customHeight="1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ht="20" customHeight="1" spans="1:12" x14ac:dyDescent="0.25">
      <c r="A30" s="35" t="s">
        <v>127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</row>
  </sheetData>
  <autoFilter ref="B7:L7"/>
  <mergeCells count="4">
    <mergeCell ref="B2:L2"/>
    <mergeCell ref="B3:L3"/>
    <mergeCell ref="B5:L5"/>
    <mergeCell ref="A30:L30"/>
  </mergeCells>
  <pageMargins left="0.4" right="0.4" top="0.5" bottom="0.5" header="0.2" footer="0.2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3A5C"/>
    <pageSetUpPr fitToPage="1"/>
  </sheetPr>
  <dimension ref="A1:G23"/>
  <sheetViews>
    <sheetView workbookViewId="0" showGridLines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2.5" customWidth="1"/>
    <col min="2" max="2" width="8" customWidth="1"/>
    <col min="3" max="3" width="41" customWidth="1"/>
    <col min="4" max="4" width="12" customWidth="1"/>
    <col min="5" max="5" width="7" customWidth="1"/>
    <col min="6" max="6" width="14" customWidth="1"/>
    <col min="7" max="7" width="17" customWidth="1"/>
  </cols>
  <sheetData>
    <row r="1" ht="5" customHeight="1" spans="1:7" x14ac:dyDescent="0.25">
      <c r="A1" s="1"/>
      <c r="B1" s="1"/>
      <c r="C1" s="1"/>
      <c r="D1" s="1"/>
      <c r="E1" s="1"/>
      <c r="F1" s="1"/>
      <c r="G1" s="1"/>
    </row>
    <row r="2" ht="34" customHeight="1" spans="1:7" x14ac:dyDescent="0.25">
      <c r="A2" s="1"/>
      <c r="B2" s="2" t="s">
        <v>128</v>
      </c>
      <c r="C2" s="2"/>
      <c r="D2" s="2"/>
      <c r="E2" s="2"/>
      <c r="F2" s="2"/>
      <c r="G2" s="2"/>
    </row>
    <row r="3" ht="20" customHeight="1" spans="1:7" x14ac:dyDescent="0.25">
      <c r="A3" s="1"/>
      <c r="B3" s="3" t="s">
        <v>73</v>
      </c>
      <c r="C3" s="3"/>
      <c r="D3" s="3"/>
      <c r="E3" s="3"/>
      <c r="F3" s="3"/>
      <c r="G3" s="3"/>
    </row>
    <row r="4" ht="3" customHeight="1" spans="1:7" x14ac:dyDescent="0.25">
      <c r="A4" s="1"/>
      <c r="B4" s="1"/>
      <c r="C4" s="1"/>
      <c r="D4" s="1"/>
      <c r="E4" s="1"/>
      <c r="F4" s="1"/>
      <c r="G4" s="1"/>
    </row>
    <row r="5" ht="30" customHeight="1" spans="1:7" x14ac:dyDescent="0.25">
      <c r="A5" s="1"/>
      <c r="B5" s="36" t="s">
        <v>129</v>
      </c>
      <c r="C5" s="36"/>
      <c r="D5" s="36"/>
      <c r="E5" s="36"/>
      <c r="F5" s="36"/>
      <c r="G5" s="36"/>
    </row>
    <row r="6" ht="6" customHeight="1" x14ac:dyDescent="0.25"/>
    <row r="7" ht="28" customHeight="1" spans="1:7" x14ac:dyDescent="0.25">
      <c r="A7" s="1"/>
      <c r="B7" s="12" t="s">
        <v>75</v>
      </c>
      <c r="C7" s="13" t="s">
        <v>31</v>
      </c>
      <c r="D7" s="14" t="s">
        <v>80</v>
      </c>
      <c r="E7" s="12" t="s">
        <v>81</v>
      </c>
      <c r="F7" s="14" t="s">
        <v>82</v>
      </c>
      <c r="G7" s="14" t="s">
        <v>34</v>
      </c>
    </row>
    <row r="8" ht="28" customHeight="1" spans="1:7" x14ac:dyDescent="0.25">
      <c r="A8" s="4"/>
      <c r="B8" s="5" t="s">
        <v>130</v>
      </c>
      <c r="C8" s="6" t="s">
        <v>131</v>
      </c>
      <c r="D8" s="6"/>
      <c r="E8" s="6"/>
      <c r="F8" s="11" t="s">
        <v>132</v>
      </c>
      <c r="G8" s="11"/>
    </row>
    <row r="9" ht="18" customHeight="1" spans="1:7" x14ac:dyDescent="0.25">
      <c r="A9" s="1"/>
      <c r="B9" s="15" t="s">
        <v>133</v>
      </c>
      <c r="C9" s="41" t="s">
        <v>85</v>
      </c>
      <c r="D9" s="44">
        <v>6.13</v>
      </c>
      <c r="E9" s="45" t="s">
        <v>90</v>
      </c>
      <c r="F9" s="46">
        <v>53.3717</v>
      </c>
      <c r="G9" s="18">
        <f>D9*F9</f>
      </c>
    </row>
    <row r="10" ht="18" customHeight="1" spans="1:7" x14ac:dyDescent="0.25">
      <c r="A10" s="1"/>
      <c r="B10" s="48" t="s">
        <v>12</v>
      </c>
      <c r="C10" s="49" t="s">
        <v>95</v>
      </c>
      <c r="D10" s="52">
        <v>4.76</v>
      </c>
      <c r="E10" s="53" t="s">
        <v>90</v>
      </c>
      <c r="F10" s="54">
        <v>42.221</v>
      </c>
      <c r="G10" s="26">
        <f>D10*F10</f>
      </c>
    </row>
    <row r="11" ht="18" customHeight="1" spans="1:7" x14ac:dyDescent="0.25">
      <c r="A11" s="1"/>
      <c r="B11" s="15" t="s">
        <v>134</v>
      </c>
      <c r="C11" s="41" t="s">
        <v>108</v>
      </c>
      <c r="D11" s="44">
        <v>0.01</v>
      </c>
      <c r="E11" s="45" t="s">
        <v>90</v>
      </c>
      <c r="F11" s="56">
        <v>0</v>
      </c>
      <c r="G11" s="18">
        <f>D11*F11</f>
      </c>
    </row>
    <row r="12" ht="18" customHeight="1" spans="1:7" x14ac:dyDescent="0.25">
      <c r="A12" s="1"/>
      <c r="B12" s="48" t="s">
        <v>135</v>
      </c>
      <c r="C12" s="49" t="s">
        <v>108</v>
      </c>
      <c r="D12" s="52">
        <v>7.8</v>
      </c>
      <c r="E12" s="53" t="s">
        <v>116</v>
      </c>
      <c r="F12" s="54">
        <v>48.4626</v>
      </c>
      <c r="G12" s="26">
        <f>D12*F12</f>
      </c>
    </row>
    <row r="13" ht="18" customHeight="1" spans="1:7" x14ac:dyDescent="0.25">
      <c r="A13" s="1"/>
      <c r="B13" s="15" t="s">
        <v>136</v>
      </c>
      <c r="C13" s="41" t="s">
        <v>122</v>
      </c>
      <c r="D13" s="44">
        <v>1</v>
      </c>
      <c r="E13" s="45" t="s">
        <v>124</v>
      </c>
      <c r="F13" s="46">
        <v>650</v>
      </c>
      <c r="G13" s="18">
        <f>D13*F13</f>
      </c>
    </row>
    <row r="14" ht="20" customHeight="1" spans="1:7" x14ac:dyDescent="0.25">
      <c r="A14" s="1"/>
      <c r="B14" s="19"/>
      <c r="C14" s="19"/>
      <c r="D14" s="19"/>
      <c r="E14" s="20" t="s">
        <v>137</v>
      </c>
      <c r="F14" s="20"/>
      <c r="G14" s="21">
        <f>SUM(G9:G13)</f>
      </c>
    </row>
    <row r="15" ht="8" customHeight="1" x14ac:dyDescent="0.25"/>
    <row r="16" ht="28" customHeight="1" spans="1:7" x14ac:dyDescent="0.25">
      <c r="A16" s="4"/>
      <c r="B16" s="5" t="s">
        <v>138</v>
      </c>
      <c r="C16" s="6" t="s">
        <v>139</v>
      </c>
      <c r="D16" s="6"/>
      <c r="E16" s="6"/>
      <c r="F16" s="6"/>
      <c r="G16" s="6"/>
    </row>
    <row r="17" ht="18" customHeight="1" spans="1:7" x14ac:dyDescent="0.25">
      <c r="A17" s="1"/>
      <c r="B17" s="15" t="s">
        <v>35</v>
      </c>
      <c r="C17" s="16" t="s">
        <v>36</v>
      </c>
      <c r="D17" s="16"/>
      <c r="E17" s="16"/>
      <c r="F17" s="16"/>
      <c r="G17" s="18">
        <f>G14</f>
      </c>
    </row>
    <row r="18" ht="20" customHeight="1" spans="1:7" x14ac:dyDescent="0.25">
      <c r="A18" s="1"/>
      <c r="B18" s="19"/>
      <c r="C18" s="19"/>
      <c r="D18" s="19"/>
      <c r="E18" s="20" t="s">
        <v>125</v>
      </c>
      <c r="F18" s="20"/>
      <c r="G18" s="21">
        <f>SUM(G17:G17)</f>
      </c>
    </row>
    <row r="19" ht="20" customHeight="1" spans="1:7" x14ac:dyDescent="0.25">
      <c r="A19" s="1"/>
      <c r="B19" s="58"/>
      <c r="C19" s="58"/>
      <c r="D19" s="58"/>
      <c r="E19" s="59" t="s">
        <v>126</v>
      </c>
      <c r="F19" s="59"/>
      <c r="G19" s="60">
        <f>G18*5/100</f>
      </c>
    </row>
    <row r="20" ht="26" customHeight="1" spans="1:7" x14ac:dyDescent="0.25">
      <c r="A20" s="1"/>
      <c r="B20" s="61"/>
      <c r="C20" s="61"/>
      <c r="D20" s="61"/>
      <c r="E20" s="62" t="s">
        <v>56</v>
      </c>
      <c r="F20" s="62"/>
      <c r="G20" s="63">
        <f>G18+G19</f>
      </c>
    </row>
    <row r="22" ht="4" customHeight="1" spans="1:7" x14ac:dyDescent="0.25">
      <c r="A22" s="1"/>
      <c r="B22" s="1"/>
      <c r="C22" s="1"/>
      <c r="D22" s="1"/>
      <c r="E22" s="1"/>
      <c r="F22" s="1"/>
      <c r="G22" s="1"/>
    </row>
    <row r="23" ht="20" customHeight="1" spans="1:7" x14ac:dyDescent="0.25">
      <c r="A23" s="35" t="s">
        <v>140</v>
      </c>
      <c r="B23" s="35"/>
      <c r="C23" s="35"/>
      <c r="D23" s="35"/>
      <c r="E23" s="35"/>
      <c r="F23" s="35"/>
      <c r="G23" s="35"/>
    </row>
  </sheetData>
  <mergeCells count="11">
    <mergeCell ref="B2:G2"/>
    <mergeCell ref="B3:G3"/>
    <mergeCell ref="B5:G5"/>
    <mergeCell ref="C8:E8"/>
    <mergeCell ref="F8:G8"/>
    <mergeCell ref="E14:F14"/>
    <mergeCell ref="C16:G16"/>
    <mergeCell ref="E18:F18"/>
    <mergeCell ref="E19:F19"/>
    <mergeCell ref="E20:F20"/>
    <mergeCell ref="A23:G23"/>
  </mergeCells>
  <pageMargins left="0.4" right="0.4" top="0.5" bottom="0.5" header="0.2" footer="0.2"/>
  <pageSetup paperSize="9" orientation="portrait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1B2A"/>
    <pageSetUpPr fitToPage="1"/>
  </sheetPr>
  <dimension ref="A1:O31"/>
  <sheetViews>
    <sheetView workbookViewId="0" showGridLines="0">
      <pane xSplit="3" ySplit="7" topLeftCell="D8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8" customWidth="1"/>
    <col min="3" max="3" width="41" customWidth="1"/>
    <col min="4" max="5" width="7" customWidth="1"/>
    <col min="6" max="6" width="11" customWidth="1"/>
    <col min="7" max="7" width="12" customWidth="1"/>
    <col min="8" max="14" width="14" customWidth="1"/>
    <col min="15" max="15" width="44" customWidth="1"/>
  </cols>
  <sheetData>
    <row r="1" ht="5" customHeight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4" customHeight="1" spans="1:15" x14ac:dyDescent="0.25">
      <c r="A2" s="1"/>
      <c r="B2" s="2" t="s">
        <v>141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0" customHeight="1" spans="1:15" x14ac:dyDescent="0.25">
      <c r="A3" s="1"/>
      <c r="B3" s="3" t="s">
        <v>73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3" customHeight="1" spans="1:1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30" customHeight="1" spans="1:15" x14ac:dyDescent="0.25">
      <c r="A5" s="1"/>
      <c r="B5" s="36" t="s">
        <v>142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</row>
    <row r="6" ht="6" customHeight="1" x14ac:dyDescent="0.25"/>
    <row r="7" ht="36" customHeight="1" spans="1:15" x14ac:dyDescent="0.25">
      <c r="A7" s="1"/>
      <c r="B7" s="12" t="s">
        <v>143</v>
      </c>
      <c r="C7" s="13" t="s">
        <v>31</v>
      </c>
      <c r="D7" s="12" t="s">
        <v>81</v>
      </c>
      <c r="E7" s="12" t="s">
        <v>144</v>
      </c>
      <c r="F7" s="12" t="s">
        <v>145</v>
      </c>
      <c r="G7" s="12" t="s">
        <v>146</v>
      </c>
      <c r="H7" s="12" t="s">
        <v>147</v>
      </c>
      <c r="I7" s="12" t="s">
        <v>148</v>
      </c>
      <c r="J7" s="12" t="s">
        <v>149</v>
      </c>
      <c r="K7" s="12" t="s">
        <v>150</v>
      </c>
      <c r="L7" s="12" t="s">
        <v>151</v>
      </c>
      <c r="M7" s="12" t="s">
        <v>152</v>
      </c>
      <c r="N7" s="12" t="s">
        <v>153</v>
      </c>
      <c r="O7" s="13" t="s">
        <v>154</v>
      </c>
    </row>
    <row r="8" ht="28" customHeight="1" spans="1:15" x14ac:dyDescent="0.25">
      <c r="A8" s="4"/>
      <c r="B8" s="5" t="s">
        <v>130</v>
      </c>
      <c r="C8" s="6" t="s">
        <v>131</v>
      </c>
      <c r="D8" s="6"/>
      <c r="E8" s="6"/>
      <c r="F8" s="6"/>
      <c r="G8" s="6"/>
      <c r="H8" s="6"/>
      <c r="I8" s="6"/>
      <c r="J8" s="6"/>
      <c r="K8" s="6"/>
      <c r="L8" s="6"/>
      <c r="M8" s="6"/>
      <c r="N8" s="11" t="s">
        <v>155</v>
      </c>
      <c r="O8" s="11"/>
    </row>
    <row r="9" ht="22" customHeight="1" spans="1:15" x14ac:dyDescent="0.25">
      <c r="A9" s="1"/>
      <c r="B9" s="38"/>
      <c r="C9" s="38" t="s">
        <v>85</v>
      </c>
      <c r="D9" s="64" t="s">
        <v>20</v>
      </c>
      <c r="E9" s="64" t="s">
        <v>20</v>
      </c>
      <c r="F9" s="64" t="s">
        <v>20</v>
      </c>
      <c r="G9" s="64" t="s">
        <v>20</v>
      </c>
      <c r="H9" s="38"/>
      <c r="I9" s="38"/>
      <c r="J9" s="38"/>
      <c r="K9" s="38"/>
      <c r="L9" s="38"/>
      <c r="M9" s="38"/>
      <c r="N9" s="38"/>
      <c r="O9" s="39" t="s">
        <v>25</v>
      </c>
    </row>
    <row r="10" ht="18" customHeight="1" spans="1:15" x14ac:dyDescent="0.25">
      <c r="A10" s="1"/>
      <c r="B10" s="15" t="s">
        <v>86</v>
      </c>
      <c r="C10" s="41" t="s">
        <v>85</v>
      </c>
      <c r="D10" s="45" t="s">
        <v>90</v>
      </c>
      <c r="E10" s="65"/>
      <c r="F10" s="66">
        <v>2.047494048946897</v>
      </c>
      <c r="G10" s="67">
        <f>F10*IF(E10&lt;&gt;"",E10,1)</f>
      </c>
      <c r="H10" s="68">
        <f>G10</f>
      </c>
      <c r="I10" s="16"/>
      <c r="J10" s="16"/>
      <c r="K10" s="16"/>
      <c r="L10" s="16"/>
      <c r="M10" s="16"/>
      <c r="N10" s="16"/>
      <c r="O10" s="47" t="s">
        <v>33</v>
      </c>
    </row>
    <row r="11" ht="18" customHeight="1" spans="1:15" x14ac:dyDescent="0.25">
      <c r="A11" s="1"/>
      <c r="B11" s="48" t="s">
        <v>91</v>
      </c>
      <c r="C11" s="49" t="s">
        <v>85</v>
      </c>
      <c r="D11" s="53" t="s">
        <v>90</v>
      </c>
      <c r="E11" s="69"/>
      <c r="F11" s="70">
        <v>4.0849</v>
      </c>
      <c r="G11" s="71">
        <f>F11*IF(E11&lt;&gt;"",E11,1)</f>
      </c>
      <c r="H11" s="23"/>
      <c r="I11" s="72">
        <f>G11</f>
      </c>
      <c r="J11" s="23"/>
      <c r="K11" s="23"/>
      <c r="L11" s="23"/>
      <c r="M11" s="23"/>
      <c r="N11" s="23"/>
      <c r="O11" s="55" t="s">
        <v>93</v>
      </c>
    </row>
    <row r="12" ht="22" customHeight="1" spans="1:15" x14ac:dyDescent="0.25">
      <c r="A12" s="1"/>
      <c r="B12" s="38"/>
      <c r="C12" s="38" t="s">
        <v>95</v>
      </c>
      <c r="D12" s="64" t="s">
        <v>20</v>
      </c>
      <c r="E12" s="64" t="s">
        <v>20</v>
      </c>
      <c r="F12" s="64" t="s">
        <v>20</v>
      </c>
      <c r="G12" s="64" t="s">
        <v>20</v>
      </c>
      <c r="H12" s="38"/>
      <c r="I12" s="38"/>
      <c r="J12" s="38"/>
      <c r="K12" s="38"/>
      <c r="L12" s="38"/>
      <c r="M12" s="38"/>
      <c r="N12" s="38"/>
      <c r="O12" s="39" t="s">
        <v>25</v>
      </c>
    </row>
    <row r="13" ht="18" customHeight="1" spans="1:15" x14ac:dyDescent="0.25">
      <c r="A13" s="1"/>
      <c r="B13" s="15" t="s">
        <v>96</v>
      </c>
      <c r="C13" s="41" t="s">
        <v>95</v>
      </c>
      <c r="D13" s="45" t="s">
        <v>90</v>
      </c>
      <c r="E13" s="65"/>
      <c r="F13" s="66">
        <v>2.0533387418320483</v>
      </c>
      <c r="G13" s="67">
        <f>F13*IF(E13&lt;&gt;"",E13,1)</f>
      </c>
      <c r="H13" s="16"/>
      <c r="I13" s="16"/>
      <c r="J13" s="68">
        <f>G13</f>
      </c>
      <c r="K13" s="16"/>
      <c r="L13" s="16"/>
      <c r="M13" s="16"/>
      <c r="N13" s="16"/>
      <c r="O13" s="47" t="s">
        <v>33</v>
      </c>
    </row>
    <row r="14" ht="18" customHeight="1" spans="1:15" x14ac:dyDescent="0.25">
      <c r="A14" s="1"/>
      <c r="B14" s="48" t="s">
        <v>99</v>
      </c>
      <c r="C14" s="49" t="s">
        <v>156</v>
      </c>
      <c r="D14" s="53" t="s">
        <v>90</v>
      </c>
      <c r="E14" s="69"/>
      <c r="F14" s="70">
        <v>2.052393185498614</v>
      </c>
      <c r="G14" s="71">
        <f>F14*IF(E14&lt;&gt;"",E14,1)</f>
      </c>
      <c r="H14" s="23"/>
      <c r="I14" s="72">
        <f>G14</f>
      </c>
      <c r="J14" s="23"/>
      <c r="K14" s="23"/>
      <c r="L14" s="23"/>
      <c r="M14" s="23"/>
      <c r="N14" s="23"/>
      <c r="O14" s="55" t="s">
        <v>33</v>
      </c>
    </row>
    <row r="15" ht="18" customHeight="1" spans="1:15" x14ac:dyDescent="0.25">
      <c r="A15" s="1"/>
      <c r="B15" s="15" t="s">
        <v>101</v>
      </c>
      <c r="C15" s="41" t="s">
        <v>157</v>
      </c>
      <c r="D15" s="45" t="s">
        <v>90</v>
      </c>
      <c r="E15" s="65"/>
      <c r="F15" s="66">
        <v>0.3164830600589758</v>
      </c>
      <c r="G15" s="67">
        <f>F15*IF(E15&lt;&gt;"",E15,1)</f>
      </c>
      <c r="H15" s="16"/>
      <c r="I15" s="16"/>
      <c r="J15" s="16"/>
      <c r="K15" s="68">
        <f>G15</f>
      </c>
      <c r="L15" s="16"/>
      <c r="M15" s="16"/>
      <c r="N15" s="16"/>
      <c r="O15" s="47" t="s">
        <v>33</v>
      </c>
    </row>
    <row r="16" ht="18" customHeight="1" spans="1:15" x14ac:dyDescent="0.25">
      <c r="A16" s="1"/>
      <c r="B16" s="48" t="s">
        <v>104</v>
      </c>
      <c r="C16" s="49" t="s">
        <v>158</v>
      </c>
      <c r="D16" s="53" t="s">
        <v>90</v>
      </c>
      <c r="E16" s="69"/>
      <c r="F16" s="70">
        <v>0.334127337497218</v>
      </c>
      <c r="G16" s="71">
        <f>F16*IF(E16&lt;&gt;"",E16,1)</f>
      </c>
      <c r="H16" s="23"/>
      <c r="I16" s="72">
        <f>G16</f>
      </c>
      <c r="J16" s="23"/>
      <c r="K16" s="23"/>
      <c r="L16" s="23"/>
      <c r="M16" s="23"/>
      <c r="N16" s="23"/>
      <c r="O16" s="55" t="s">
        <v>33</v>
      </c>
    </row>
    <row r="17" ht="22" customHeight="1" spans="1:15" x14ac:dyDescent="0.25">
      <c r="A17" s="1"/>
      <c r="B17" s="38"/>
      <c r="C17" s="38" t="s">
        <v>108</v>
      </c>
      <c r="D17" s="64" t="s">
        <v>20</v>
      </c>
      <c r="E17" s="64" t="s">
        <v>20</v>
      </c>
      <c r="F17" s="64" t="s">
        <v>20</v>
      </c>
      <c r="G17" s="64" t="s">
        <v>20</v>
      </c>
      <c r="H17" s="38"/>
      <c r="I17" s="38"/>
      <c r="J17" s="38"/>
      <c r="K17" s="38"/>
      <c r="L17" s="38"/>
      <c r="M17" s="38"/>
      <c r="N17" s="38"/>
      <c r="O17" s="39" t="s">
        <v>27</v>
      </c>
    </row>
    <row r="18" ht="18" customHeight="1" spans="1:15" x14ac:dyDescent="0.25">
      <c r="A18" s="1"/>
      <c r="B18" s="15" t="s">
        <v>109</v>
      </c>
      <c r="C18" s="41" t="s">
        <v>108</v>
      </c>
      <c r="D18" s="45" t="s">
        <v>90</v>
      </c>
      <c r="E18" s="65"/>
      <c r="F18" s="66">
        <v>0.008395739220138917</v>
      </c>
      <c r="G18" s="67">
        <f>F18*IF(E18&lt;&gt;"",E18,1)</f>
      </c>
      <c r="H18" s="16"/>
      <c r="I18" s="16"/>
      <c r="J18" s="16"/>
      <c r="K18" s="16"/>
      <c r="L18" s="68">
        <f>G18</f>
      </c>
      <c r="M18" s="16"/>
      <c r="N18" s="16"/>
      <c r="O18" s="47" t="s">
        <v>33</v>
      </c>
    </row>
    <row r="19" ht="22" customHeight="1" spans="1:15" x14ac:dyDescent="0.25">
      <c r="A19" s="1"/>
      <c r="B19" s="38"/>
      <c r="C19" s="38" t="s">
        <v>108</v>
      </c>
      <c r="D19" s="64" t="s">
        <v>20</v>
      </c>
      <c r="E19" s="64" t="s">
        <v>20</v>
      </c>
      <c r="F19" s="64" t="s">
        <v>20</v>
      </c>
      <c r="G19" s="64" t="s">
        <v>20</v>
      </c>
      <c r="H19" s="38"/>
      <c r="I19" s="38"/>
      <c r="J19" s="38"/>
      <c r="K19" s="38"/>
      <c r="L19" s="38"/>
      <c r="M19" s="38"/>
      <c r="N19" s="38"/>
      <c r="O19" s="39" t="s">
        <v>25</v>
      </c>
    </row>
    <row r="20" ht="18" customHeight="1" spans="1:15" x14ac:dyDescent="0.25">
      <c r="A20" s="1"/>
      <c r="B20" s="15" t="s">
        <v>113</v>
      </c>
      <c r="C20" s="41" t="s">
        <v>159</v>
      </c>
      <c r="D20" s="45" t="s">
        <v>116</v>
      </c>
      <c r="E20" s="65"/>
      <c r="F20" s="66">
        <v>5.3324</v>
      </c>
      <c r="G20" s="67">
        <f>F20*IF(E20&lt;&gt;"",E20,1)</f>
      </c>
      <c r="H20" s="16"/>
      <c r="I20" s="16"/>
      <c r="J20" s="16"/>
      <c r="K20" s="16"/>
      <c r="L20" s="16"/>
      <c r="M20" s="68">
        <f>G20</f>
      </c>
      <c r="N20" s="16"/>
      <c r="O20" s="47" t="s">
        <v>33</v>
      </c>
    </row>
    <row r="21" ht="18" customHeight="1" spans="1:15" x14ac:dyDescent="0.25">
      <c r="A21" s="1"/>
      <c r="B21" s="48" t="s">
        <v>117</v>
      </c>
      <c r="C21" s="49" t="s">
        <v>160</v>
      </c>
      <c r="D21" s="53" t="s">
        <v>116</v>
      </c>
      <c r="E21" s="69"/>
      <c r="F21" s="70">
        <v>2.1992</v>
      </c>
      <c r="G21" s="71">
        <f>F21*IF(E21&lt;&gt;"",E21,1)</f>
      </c>
      <c r="H21" s="23"/>
      <c r="I21" s="23"/>
      <c r="J21" s="23"/>
      <c r="K21" s="23"/>
      <c r="L21" s="23"/>
      <c r="M21" s="23"/>
      <c r="N21" s="72">
        <f>G21</f>
      </c>
      <c r="O21" s="73" t="s">
        <v>161</v>
      </c>
    </row>
    <row r="22" ht="18" customHeight="1" spans="1:15" x14ac:dyDescent="0.25">
      <c r="A22" s="1"/>
      <c r="B22" s="15" t="s">
        <v>119</v>
      </c>
      <c r="C22" s="41" t="s">
        <v>162</v>
      </c>
      <c r="D22" s="45" t="s">
        <v>116</v>
      </c>
      <c r="E22" s="65"/>
      <c r="F22" s="66">
        <v>0.2666</v>
      </c>
      <c r="G22" s="67">
        <f>F22*IF(E22&lt;&gt;"",E22,1)</f>
      </c>
      <c r="H22" s="16"/>
      <c r="I22" s="16"/>
      <c r="J22" s="16"/>
      <c r="K22" s="16"/>
      <c r="L22" s="16"/>
      <c r="M22" s="16"/>
      <c r="N22" s="68">
        <f>G22</f>
      </c>
      <c r="O22" s="74" t="s">
        <v>161</v>
      </c>
    </row>
    <row r="23" ht="22" customHeight="1" spans="1:15" x14ac:dyDescent="0.25">
      <c r="A23" s="1"/>
      <c r="B23" s="38"/>
      <c r="C23" s="38" t="s">
        <v>163</v>
      </c>
      <c r="D23" s="64" t="s">
        <v>20</v>
      </c>
      <c r="E23" s="64" t="s">
        <v>20</v>
      </c>
      <c r="F23" s="64" t="s">
        <v>20</v>
      </c>
      <c r="G23" s="64" t="s">
        <v>20</v>
      </c>
      <c r="H23" s="38"/>
      <c r="I23" s="38"/>
      <c r="J23" s="38"/>
      <c r="K23" s="38"/>
      <c r="L23" s="38"/>
      <c r="M23" s="38"/>
      <c r="N23" s="38"/>
      <c r="O23" s="39" t="s">
        <v>33</v>
      </c>
    </row>
    <row r="24" ht="18" customHeight="1" spans="1:15" x14ac:dyDescent="0.25">
      <c r="A24" s="1"/>
      <c r="B24" s="15" t="s">
        <v>121</v>
      </c>
      <c r="C24" s="41" t="s">
        <v>122</v>
      </c>
      <c r="D24" s="45" t="s">
        <v>124</v>
      </c>
      <c r="E24" s="65"/>
      <c r="F24" s="66">
        <v>1</v>
      </c>
      <c r="G24" s="67">
        <f>F24*IF(E24&lt;&gt;"",E24,1)</f>
      </c>
      <c r="H24" s="16"/>
      <c r="I24" s="16"/>
      <c r="J24" s="16"/>
      <c r="K24" s="16"/>
      <c r="L24" s="16"/>
      <c r="M24" s="16"/>
      <c r="N24" s="16"/>
      <c r="O24" s="47" t="s">
        <v>33</v>
      </c>
    </row>
    <row r="25" ht="20" customHeight="1" spans="1:15" x14ac:dyDescent="0.25">
      <c r="A25" s="1"/>
      <c r="B25" s="75" t="s">
        <v>164</v>
      </c>
      <c r="C25" s="75"/>
      <c r="D25" s="75"/>
      <c r="E25" s="75"/>
      <c r="F25" s="75"/>
      <c r="G25" s="75"/>
      <c r="H25" s="76">
        <f>SUM(H9:H24)</f>
      </c>
      <c r="I25" s="76">
        <f>SUM(I9:I24)</f>
      </c>
      <c r="J25" s="76">
        <f>SUM(J9:J24)</f>
      </c>
      <c r="K25" s="76">
        <f>SUM(K9:K24)</f>
      </c>
      <c r="L25" s="76">
        <f>SUM(L9:L24)</f>
      </c>
      <c r="M25" s="76">
        <f>SUM(M9:M24)</f>
      </c>
      <c r="N25" s="76">
        <f>SUM(N9:N24)</f>
      </c>
      <c r="O25" s="77"/>
    </row>
    <row r="27" ht="5" customHeight="1" spans="1: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ht="5" customHeight="1" spans="1: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ht="26" customHeight="1" spans="1:15" x14ac:dyDescent="0.25">
      <c r="A29" s="78" t="s">
        <v>165</v>
      </c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</row>
    <row r="30" ht="28" customHeight="1" spans="1:15" x14ac:dyDescent="0.25">
      <c r="A30" s="1"/>
      <c r="B30" s="62" t="s">
        <v>146</v>
      </c>
      <c r="C30" s="62"/>
      <c r="D30" s="62"/>
      <c r="E30" s="62"/>
      <c r="F30" s="62"/>
      <c r="G30" s="62"/>
      <c r="H30" s="79">
        <f>H25</f>
      </c>
      <c r="I30" s="79">
        <f>I25</f>
      </c>
      <c r="J30" s="79">
        <f>J25</f>
      </c>
      <c r="K30" s="79">
        <f>K25</f>
      </c>
      <c r="L30" s="79">
        <f>L25</f>
      </c>
      <c r="M30" s="79">
        <f>M25</f>
      </c>
      <c r="N30" s="79">
        <f>N25</f>
      </c>
      <c r="O30" s="58"/>
    </row>
    <row r="31" ht="50" customHeight="1" spans="8:14" x14ac:dyDescent="0.25">
      <c r="H31" s="80" t="s">
        <v>147</v>
      </c>
      <c r="I31" s="80" t="s">
        <v>148</v>
      </c>
      <c r="J31" s="80" t="s">
        <v>149</v>
      </c>
      <c r="K31" s="80" t="s">
        <v>150</v>
      </c>
      <c r="L31" s="80" t="s">
        <v>151</v>
      </c>
      <c r="M31" s="80" t="s">
        <v>152</v>
      </c>
      <c r="N31" s="80" t="s">
        <v>153</v>
      </c>
    </row>
  </sheetData>
  <mergeCells count="8">
    <mergeCell ref="B2:O2"/>
    <mergeCell ref="B3:O3"/>
    <mergeCell ref="B5:O5"/>
    <mergeCell ref="C8:M8"/>
    <mergeCell ref="N8:O8"/>
    <mergeCell ref="B25:G25"/>
    <mergeCell ref="A29:O29"/>
    <mergeCell ref="B30:G30"/>
  </mergeCells>
  <pageMargins left="0.4" right="0.4" top="0.5" bottom="0.5" header="0.2" footer="0.2"/>
  <pageSetup paperSize="9"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5C3A"/>
    <pageSetUpPr fitToPage="1"/>
  </sheetPr>
  <dimension ref="A1:O18"/>
  <sheetViews>
    <sheetView workbookViewId="0" showGridLines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2.5" customWidth="1"/>
    <col min="2" max="2" width="5" customWidth="1"/>
    <col min="3" max="3" width="11" customWidth="1"/>
    <col min="4" max="4" width="24" customWidth="1"/>
    <col min="5" max="5" width="7" customWidth="1"/>
    <col min="6" max="6" width="12" customWidth="1"/>
    <col min="7" max="7" width="8" customWidth="1"/>
    <col min="8" max="8" width="12" customWidth="1"/>
    <col min="9" max="9" width="11" customWidth="1"/>
    <col min="11" max="11" width="11" customWidth="1"/>
    <col min="12" max="12" width="13" customWidth="1"/>
    <col min="13" max="13" width="15" customWidth="1"/>
    <col min="14" max="14" width="18" customWidth="1"/>
    <col min="15" max="15" width="34" customWidth="1"/>
  </cols>
  <sheetData>
    <row r="1" ht="5" customHeight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4" customHeight="1" spans="1:15" x14ac:dyDescent="0.25">
      <c r="A2" s="1"/>
      <c r="B2" s="2" t="s">
        <v>166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0" customHeight="1" spans="1:15" x14ac:dyDescent="0.25">
      <c r="A3" s="1"/>
      <c r="B3" s="3" t="s">
        <v>73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3" customHeight="1" spans="1:1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45" customHeight="1" spans="1:15" x14ac:dyDescent="0.25">
      <c r="A5" s="1"/>
      <c r="B5" s="36" t="s">
        <v>167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</row>
    <row r="6" ht="6" customHeight="1" x14ac:dyDescent="0.25"/>
    <row r="7" ht="36" customHeight="1" spans="1:15" x14ac:dyDescent="0.25">
      <c r="A7" s="1"/>
      <c r="B7" s="12" t="s">
        <v>168</v>
      </c>
      <c r="C7" s="13" t="s">
        <v>169</v>
      </c>
      <c r="D7" s="13" t="s">
        <v>79</v>
      </c>
      <c r="E7" s="12" t="s">
        <v>81</v>
      </c>
      <c r="F7" s="14" t="s">
        <v>170</v>
      </c>
      <c r="G7" s="12" t="s">
        <v>171</v>
      </c>
      <c r="H7" s="14" t="s">
        <v>172</v>
      </c>
      <c r="I7" s="12" t="s">
        <v>173</v>
      </c>
      <c r="J7" s="12" t="s">
        <v>174</v>
      </c>
      <c r="K7" s="14" t="s">
        <v>175</v>
      </c>
      <c r="L7" s="14" t="s">
        <v>176</v>
      </c>
      <c r="M7" s="14" t="s">
        <v>177</v>
      </c>
      <c r="N7" s="13" t="s">
        <v>178</v>
      </c>
      <c r="O7" s="13" t="s">
        <v>154</v>
      </c>
    </row>
    <row r="8" ht="20" customHeight="1" spans="1:15" x14ac:dyDescent="0.25">
      <c r="A8" s="1"/>
      <c r="B8" s="15">
        <v>1</v>
      </c>
      <c r="C8" s="81" t="s">
        <v>179</v>
      </c>
      <c r="D8" s="41" t="s">
        <v>89</v>
      </c>
      <c r="E8" s="45" t="s">
        <v>90</v>
      </c>
      <c r="F8" s="82">
        <f>'BOQ_Matrix'!H30</f>
        <v>2.047494048946897</v>
      </c>
      <c r="G8" s="83">
        <v>0</v>
      </c>
      <c r="H8" s="44">
        <f>F8*(1+G8)</f>
      </c>
      <c r="I8" s="84"/>
      <c r="J8" s="45" t="s">
        <v>90</v>
      </c>
      <c r="K8" s="85">
        <f>IF(I8="",ROUND(H8,2),CEILING(H8/I8,1))</f>
      </c>
      <c r="L8" s="46">
        <v>85</v>
      </c>
      <c r="M8" s="18">
        <f>K8*L8</f>
      </c>
      <c r="N8" s="16" t="s">
        <v>33</v>
      </c>
      <c r="O8" s="47" t="s">
        <v>33</v>
      </c>
    </row>
    <row r="9" ht="20" customHeight="1" spans="1:15" x14ac:dyDescent="0.25">
      <c r="A9" s="1"/>
      <c r="B9" s="48">
        <v>2</v>
      </c>
      <c r="C9" s="86" t="s">
        <v>180</v>
      </c>
      <c r="D9" s="49" t="s">
        <v>92</v>
      </c>
      <c r="E9" s="53" t="s">
        <v>90</v>
      </c>
      <c r="F9" s="87">
        <f>'BOQ_Matrix'!I30</f>
        <v>6.471420522995833</v>
      </c>
      <c r="G9" s="88">
        <v>0.1</v>
      </c>
      <c r="H9" s="52">
        <f>F9*(1+G9)</f>
      </c>
      <c r="I9" s="89"/>
      <c r="J9" s="53" t="s">
        <v>90</v>
      </c>
      <c r="K9" s="90">
        <f>IF(I9="",ROUND(H9,2),CEILING(H9/I9,1))</f>
      </c>
      <c r="L9" s="54">
        <v>22</v>
      </c>
      <c r="M9" s="26">
        <f>K9*L9</f>
      </c>
      <c r="N9" s="23" t="s">
        <v>33</v>
      </c>
      <c r="O9" s="55" t="s">
        <v>33</v>
      </c>
    </row>
    <row r="10" ht="20" customHeight="1" spans="1:15" x14ac:dyDescent="0.25">
      <c r="A10" s="1"/>
      <c r="B10" s="15">
        <v>3</v>
      </c>
      <c r="C10" s="81" t="s">
        <v>180</v>
      </c>
      <c r="D10" s="41" t="s">
        <v>98</v>
      </c>
      <c r="E10" s="45" t="s">
        <v>90</v>
      </c>
      <c r="F10" s="82">
        <f>'BOQ_Matrix'!J30</f>
        <v>2.0533387418320483</v>
      </c>
      <c r="G10" s="83">
        <v>0.05</v>
      </c>
      <c r="H10" s="44">
        <f>F10*(1+G10)</f>
      </c>
      <c r="I10" s="84">
        <v>2.88</v>
      </c>
      <c r="J10" s="45" t="s">
        <v>181</v>
      </c>
      <c r="K10" s="85">
        <f>IF(I10="",ROUND(H10,2),CEILING(H10/I10,1))</f>
      </c>
      <c r="L10" s="46">
        <v>86</v>
      </c>
      <c r="M10" s="18">
        <f>K10*L10</f>
      </c>
      <c r="N10" s="16" t="s">
        <v>33</v>
      </c>
      <c r="O10" s="47" t="s">
        <v>182</v>
      </c>
    </row>
    <row r="11" ht="20" customHeight="1" spans="1:15" x14ac:dyDescent="0.25">
      <c r="A11" s="1"/>
      <c r="B11" s="48">
        <v>4</v>
      </c>
      <c r="C11" s="86" t="s">
        <v>180</v>
      </c>
      <c r="D11" s="49" t="s">
        <v>103</v>
      </c>
      <c r="E11" s="53" t="s">
        <v>90</v>
      </c>
      <c r="F11" s="87">
        <f>'BOQ_Matrix'!K30</f>
        <v>0.3164830600589758</v>
      </c>
      <c r="G11" s="88">
        <v>0</v>
      </c>
      <c r="H11" s="52">
        <f>F11*(1+G11)</f>
      </c>
      <c r="I11" s="89"/>
      <c r="J11" s="53" t="s">
        <v>90</v>
      </c>
      <c r="K11" s="90">
        <f>IF(I11="",ROUND(H11,2),CEILING(H11/I11,1))</f>
      </c>
      <c r="L11" s="54">
        <v>120</v>
      </c>
      <c r="M11" s="26">
        <f>K11*L11</f>
      </c>
      <c r="N11" s="23" t="s">
        <v>33</v>
      </c>
      <c r="O11" s="55" t="s">
        <v>33</v>
      </c>
    </row>
    <row r="12" ht="20" customHeight="1" spans="1:15" x14ac:dyDescent="0.25">
      <c r="A12" s="1"/>
      <c r="B12" s="15">
        <v>5</v>
      </c>
      <c r="C12" s="81" t="s">
        <v>180</v>
      </c>
      <c r="D12" s="41" t="s">
        <v>111</v>
      </c>
      <c r="E12" s="45" t="s">
        <v>90</v>
      </c>
      <c r="F12" s="82">
        <f>'BOQ_Matrix'!L30</f>
        <v>0.008395739220138917</v>
      </c>
      <c r="G12" s="83">
        <v>0</v>
      </c>
      <c r="H12" s="44">
        <f>F12*(1+G12)</f>
      </c>
      <c r="I12" s="84"/>
      <c r="J12" s="45" t="s">
        <v>90</v>
      </c>
      <c r="K12" s="85">
        <f>IF(I12="",ROUND(H12,2),CEILING(H12/I12,1))</f>
      </c>
      <c r="L12" s="56"/>
      <c r="M12" s="18">
        <f>K12*L12</f>
      </c>
      <c r="N12" s="16" t="s">
        <v>33</v>
      </c>
      <c r="O12" s="47" t="s">
        <v>33</v>
      </c>
    </row>
    <row r="13" ht="20" customHeight="1" spans="1:15" x14ac:dyDescent="0.25">
      <c r="A13" s="1"/>
      <c r="B13" s="48">
        <v>6</v>
      </c>
      <c r="C13" s="86" t="s">
        <v>180</v>
      </c>
      <c r="D13" s="49" t="s">
        <v>111</v>
      </c>
      <c r="E13" s="53" t="s">
        <v>116</v>
      </c>
      <c r="F13" s="87">
        <f>'BOQ_Matrix'!M30</f>
        <v>5.3324</v>
      </c>
      <c r="G13" s="88">
        <v>0</v>
      </c>
      <c r="H13" s="52">
        <f>F13*(1+G13)</f>
      </c>
      <c r="I13" s="89"/>
      <c r="J13" s="53" t="s">
        <v>116</v>
      </c>
      <c r="K13" s="90">
        <f>IF(I13="",ROUND(H13,2),CEILING(H13/I13,1))</f>
      </c>
      <c r="L13" s="54">
        <v>45</v>
      </c>
      <c r="M13" s="26">
        <f>K13*L13</f>
      </c>
      <c r="N13" s="23" t="s">
        <v>33</v>
      </c>
      <c r="O13" s="55" t="s">
        <v>33</v>
      </c>
    </row>
    <row r="14" ht="20" customHeight="1" spans="1:15" x14ac:dyDescent="0.25">
      <c r="A14" s="1"/>
      <c r="B14" s="15">
        <v>7</v>
      </c>
      <c r="C14" s="81" t="s">
        <v>180</v>
      </c>
      <c r="D14" s="41" t="s">
        <v>92</v>
      </c>
      <c r="E14" s="45" t="s">
        <v>116</v>
      </c>
      <c r="F14" s="82">
        <f>'BOQ_Matrix'!N30</f>
        <v>2.4657999999999998</v>
      </c>
      <c r="G14" s="83">
        <v>0.1</v>
      </c>
      <c r="H14" s="44">
        <f>F14*(1+G14)</f>
      </c>
      <c r="I14" s="84"/>
      <c r="J14" s="45" t="s">
        <v>116</v>
      </c>
      <c r="K14" s="85">
        <f>IF(I14="",ROUND(H14,2),CEILING(H14/I14,1))</f>
      </c>
      <c r="L14" s="17" t="s">
        <v>20</v>
      </c>
      <c r="M14" s="17" t="s">
        <v>20</v>
      </c>
      <c r="N14" s="16" t="s">
        <v>33</v>
      </c>
      <c r="O14" s="74" t="s">
        <v>183</v>
      </c>
    </row>
    <row r="15" ht="26" customHeight="1" spans="1:15" x14ac:dyDescent="0.25">
      <c r="A15" s="1"/>
      <c r="B15" s="61"/>
      <c r="C15" s="61"/>
      <c r="D15" s="61"/>
      <c r="E15" s="61"/>
      <c r="F15" s="61"/>
      <c r="G15" s="61"/>
      <c r="H15" s="61"/>
      <c r="I15" s="62" t="s">
        <v>184</v>
      </c>
      <c r="J15" s="62"/>
      <c r="K15" s="62"/>
      <c r="L15" s="62"/>
      <c r="M15" s="63">
        <f>SUM(M8:M14)</f>
      </c>
      <c r="N15" s="61"/>
      <c r="O15" s="61"/>
    </row>
    <row r="17" ht="4" customHeight="1" spans="1:1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ht="20" customHeight="1" spans="1:15" x14ac:dyDescent="0.25">
      <c r="A18" s="35" t="s">
        <v>185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</row>
  </sheetData>
  <mergeCells count="5">
    <mergeCell ref="B2:O2"/>
    <mergeCell ref="B3:O3"/>
    <mergeCell ref="B5:O5"/>
    <mergeCell ref="I15:L15"/>
    <mergeCell ref="A18:O18"/>
  </mergeCells>
  <pageMargins left="0.4" right="0.4" top="0.5" bottom="0.5" header="0.2" footer="0.2"/>
  <pageSetup paperSize="9"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A6B00"/>
    <pageSetUpPr fitToPage="1"/>
  </sheetPr>
  <dimension ref="A1:L28"/>
  <sheetViews>
    <sheetView workbookViewId="0" showGridLines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2.5" customWidth="1"/>
    <col min="2" max="2" width="5" customWidth="1"/>
    <col min="3" max="3" width="11" customWidth="1"/>
    <col min="4" max="4" width="41" customWidth="1"/>
    <col min="5" max="5" width="7" customWidth="1"/>
    <col min="6" max="9" width="12" customWidth="1"/>
    <col min="10" max="10" width="13" customWidth="1"/>
    <col min="11" max="11" width="16" customWidth="1"/>
    <col min="12" max="12" width="34" customWidth="1"/>
  </cols>
  <sheetData>
    <row r="1" ht="5" customHeight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4" customHeight="1" spans="1:12" x14ac:dyDescent="0.25">
      <c r="A2" s="1"/>
      <c r="B2" s="2" t="s">
        <v>186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0" customHeight="1" spans="1:12" x14ac:dyDescent="0.25">
      <c r="A3" s="1"/>
      <c r="B3" s="3" t="s">
        <v>187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ht="3" customHeight="1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30" customHeight="1" spans="1:12" x14ac:dyDescent="0.25">
      <c r="A5" s="1"/>
      <c r="B5" s="36" t="s">
        <v>188</v>
      </c>
      <c r="C5" s="36"/>
      <c r="D5" s="36"/>
      <c r="E5" s="36"/>
      <c r="F5" s="36"/>
      <c r="G5" s="36"/>
      <c r="H5" s="36"/>
      <c r="I5" s="36"/>
      <c r="J5" s="36"/>
      <c r="K5" s="36"/>
      <c r="L5" s="36"/>
    </row>
    <row r="6" ht="6" customHeight="1" x14ac:dyDescent="0.25"/>
    <row r="7" ht="36" customHeight="1" spans="1:12" x14ac:dyDescent="0.25">
      <c r="A7" s="1"/>
      <c r="B7" s="12" t="s">
        <v>168</v>
      </c>
      <c r="C7" s="13" t="s">
        <v>169</v>
      </c>
      <c r="D7" s="13" t="s">
        <v>31</v>
      </c>
      <c r="E7" s="12" t="s">
        <v>81</v>
      </c>
      <c r="F7" s="14" t="s">
        <v>80</v>
      </c>
      <c r="G7" s="14" t="s">
        <v>189</v>
      </c>
      <c r="H7" s="14" t="s">
        <v>190</v>
      </c>
      <c r="I7" s="14" t="s">
        <v>191</v>
      </c>
      <c r="J7" s="14" t="s">
        <v>192</v>
      </c>
      <c r="K7" s="14" t="s">
        <v>34</v>
      </c>
      <c r="L7" s="13" t="s">
        <v>83</v>
      </c>
    </row>
    <row r="8" ht="28" customHeight="1" spans="1:12" x14ac:dyDescent="0.25">
      <c r="A8" s="4"/>
      <c r="B8" s="5" t="s">
        <v>193</v>
      </c>
      <c r="C8" s="6" t="s">
        <v>194</v>
      </c>
      <c r="D8" s="6"/>
      <c r="E8" s="6"/>
      <c r="F8" s="6"/>
      <c r="G8" s="6"/>
      <c r="H8" s="6"/>
      <c r="I8" s="6"/>
      <c r="J8" s="6"/>
      <c r="K8" s="11" t="s">
        <v>195</v>
      </c>
      <c r="L8" s="11"/>
    </row>
    <row r="9" ht="20" customHeight="1" spans="1:12" x14ac:dyDescent="0.25">
      <c r="A9" s="1"/>
      <c r="B9" s="15">
        <v>1</v>
      </c>
      <c r="C9" s="81" t="s">
        <v>179</v>
      </c>
      <c r="D9" s="41" t="s">
        <v>89</v>
      </c>
      <c r="E9" s="45" t="s">
        <v>90</v>
      </c>
      <c r="F9" s="82">
        <f>'Materials'!F8</f>
        <v>2.047494048946897</v>
      </c>
      <c r="G9" s="91">
        <v>85</v>
      </c>
      <c r="H9" s="91">
        <v>15</v>
      </c>
      <c r="I9" s="91"/>
      <c r="J9" s="46">
        <f>G9+H9+I9</f>
        <v>100</v>
      </c>
      <c r="K9" s="18">
        <f>F9*J9</f>
      </c>
      <c r="L9" s="47" t="s">
        <v>33</v>
      </c>
    </row>
    <row r="10" ht="20" customHeight="1" spans="1:12" x14ac:dyDescent="0.25">
      <c r="A10" s="1"/>
      <c r="B10" s="48">
        <v>2</v>
      </c>
      <c r="C10" s="86" t="s">
        <v>180</v>
      </c>
      <c r="D10" s="49" t="s">
        <v>196</v>
      </c>
      <c r="E10" s="53" t="s">
        <v>90</v>
      </c>
      <c r="F10" s="87">
        <f>'Materials'!F9</f>
        <v>6.471420522995833</v>
      </c>
      <c r="G10" s="92">
        <v>24.2</v>
      </c>
      <c r="H10" s="92">
        <v>8</v>
      </c>
      <c r="I10" s="92"/>
      <c r="J10" s="54">
        <v>29.999999999999996</v>
      </c>
      <c r="K10" s="26">
        <f>F10*J10</f>
      </c>
      <c r="L10" s="55" t="s">
        <v>197</v>
      </c>
    </row>
    <row r="11" ht="20" customHeight="1" spans="1:12" x14ac:dyDescent="0.25">
      <c r="A11" s="1"/>
      <c r="B11" s="15">
        <v>3</v>
      </c>
      <c r="C11" s="81" t="s">
        <v>180</v>
      </c>
      <c r="D11" s="41" t="s">
        <v>98</v>
      </c>
      <c r="E11" s="45" t="s">
        <v>90</v>
      </c>
      <c r="F11" s="82">
        <f>'Materials'!F10</f>
        <v>2.0533387418320483</v>
      </c>
      <c r="G11" s="91">
        <v>31.3542</v>
      </c>
      <c r="H11" s="91">
        <v>10</v>
      </c>
      <c r="I11" s="91"/>
      <c r="J11" s="46">
        <f>G11+H11+I11</f>
        <v>41.3542</v>
      </c>
      <c r="K11" s="18">
        <f>F11*J11</f>
      </c>
      <c r="L11" s="47" t="s">
        <v>33</v>
      </c>
    </row>
    <row r="12" ht="20" customHeight="1" spans="1:12" x14ac:dyDescent="0.25">
      <c r="A12" s="1"/>
      <c r="B12" s="48">
        <v>4</v>
      </c>
      <c r="C12" s="86" t="s">
        <v>180</v>
      </c>
      <c r="D12" s="49" t="s">
        <v>103</v>
      </c>
      <c r="E12" s="53" t="s">
        <v>90</v>
      </c>
      <c r="F12" s="87">
        <f>'Materials'!F11</f>
        <v>0.3164830600589758</v>
      </c>
      <c r="G12" s="92">
        <v>120</v>
      </c>
      <c r="H12" s="92">
        <v>20</v>
      </c>
      <c r="I12" s="92"/>
      <c r="J12" s="54">
        <f>G12+H12+I12</f>
        <v>140</v>
      </c>
      <c r="K12" s="26">
        <f>F12*J12</f>
      </c>
      <c r="L12" s="55" t="s">
        <v>33</v>
      </c>
    </row>
    <row r="13" ht="20" customHeight="1" spans="1:12" x14ac:dyDescent="0.25">
      <c r="A13" s="1"/>
      <c r="B13" s="15">
        <v>5</v>
      </c>
      <c r="C13" s="81" t="s">
        <v>180</v>
      </c>
      <c r="D13" s="41" t="s">
        <v>198</v>
      </c>
      <c r="E13" s="45" t="s">
        <v>90</v>
      </c>
      <c r="F13" s="82">
        <f>'Materials'!F12</f>
        <v>0.008395739220138917</v>
      </c>
      <c r="G13" s="91"/>
      <c r="H13" s="91"/>
      <c r="I13" s="91"/>
      <c r="J13" s="56"/>
      <c r="K13" s="18">
        <f>F13*J13</f>
      </c>
      <c r="L13" s="47" t="s">
        <v>199</v>
      </c>
    </row>
    <row r="14" ht="20" customHeight="1" spans="1:12" x14ac:dyDescent="0.25">
      <c r="A14" s="1"/>
      <c r="B14" s="48">
        <v>6</v>
      </c>
      <c r="C14" s="86" t="s">
        <v>180</v>
      </c>
      <c r="D14" s="49" t="s">
        <v>200</v>
      </c>
      <c r="E14" s="53" t="s">
        <v>116</v>
      </c>
      <c r="F14" s="87">
        <f>'Materials'!F13</f>
        <v>5.3324</v>
      </c>
      <c r="G14" s="92">
        <v>45</v>
      </c>
      <c r="H14" s="92">
        <v>12</v>
      </c>
      <c r="I14" s="92"/>
      <c r="J14" s="54">
        <f>G14+H14+I14</f>
        <v>57</v>
      </c>
      <c r="K14" s="26">
        <f>F14*J14</f>
      </c>
      <c r="L14" s="55" t="s">
        <v>33</v>
      </c>
    </row>
    <row r="15" ht="30" customHeight="1" spans="1:12" x14ac:dyDescent="0.25">
      <c r="A15" s="1"/>
      <c r="B15" s="15">
        <v>7</v>
      </c>
      <c r="C15" s="81" t="s">
        <v>180</v>
      </c>
      <c r="D15" s="41" t="s">
        <v>201</v>
      </c>
      <c r="E15" s="45" t="s">
        <v>116</v>
      </c>
      <c r="F15" s="82">
        <f>'Materials'!F14</f>
        <v>2.4657999999999998</v>
      </c>
      <c r="G15" s="91">
        <v>24.2</v>
      </c>
      <c r="H15" s="91">
        <v>8</v>
      </c>
      <c r="I15" s="91"/>
      <c r="J15" s="46">
        <v>30.000000000000004</v>
      </c>
      <c r="K15" s="18">
        <f>F15*J15</f>
      </c>
      <c r="L15" s="74" t="s">
        <v>202</v>
      </c>
    </row>
    <row r="16" ht="8" customHeight="1" x14ac:dyDescent="0.25"/>
    <row r="17" ht="28" customHeight="1" spans="1:12" x14ac:dyDescent="0.25">
      <c r="A17" s="4"/>
      <c r="B17" s="5" t="s">
        <v>203</v>
      </c>
      <c r="C17" s="6" t="s">
        <v>204</v>
      </c>
      <c r="D17" s="6"/>
      <c r="E17" s="6"/>
      <c r="F17" s="6"/>
      <c r="G17" s="6"/>
      <c r="H17" s="6"/>
      <c r="I17" s="6"/>
      <c r="J17" s="6"/>
      <c r="K17" s="11" t="s">
        <v>205</v>
      </c>
      <c r="L17" s="11"/>
    </row>
    <row r="18" ht="18" customHeight="1" spans="1:12" x14ac:dyDescent="0.25">
      <c r="A18" s="1"/>
      <c r="B18" s="15" t="s">
        <v>121</v>
      </c>
      <c r="C18" s="16"/>
      <c r="D18" s="41" t="s">
        <v>122</v>
      </c>
      <c r="E18" s="45" t="s">
        <v>124</v>
      </c>
      <c r="F18" s="82">
        <f>'Takeoff'!H23</f>
        <v>1</v>
      </c>
      <c r="G18" s="16"/>
      <c r="H18" s="16"/>
      <c r="I18" s="16"/>
      <c r="J18" s="46">
        <v>650</v>
      </c>
      <c r="K18" s="18">
        <f>F18*J18</f>
      </c>
      <c r="L18" s="22" t="s">
        <v>206</v>
      </c>
    </row>
    <row r="19" ht="8" customHeight="1" x14ac:dyDescent="0.25"/>
    <row r="20" ht="20" customHeight="1" spans="1:12" x14ac:dyDescent="0.25">
      <c r="A20" s="1"/>
      <c r="B20" s="19"/>
      <c r="C20" s="19"/>
      <c r="D20" s="19"/>
      <c r="E20" s="19"/>
      <c r="F20" s="19"/>
      <c r="G20" s="19"/>
      <c r="H20" s="20" t="s">
        <v>207</v>
      </c>
      <c r="I20" s="20"/>
      <c r="J20" s="20"/>
      <c r="K20" s="21">
        <f>K9+K10+K11+K12+K13+K14+K15+K18</f>
      </c>
      <c r="L20" s="19"/>
    </row>
    <row r="21" ht="20" customHeight="1" spans="1:12" x14ac:dyDescent="0.25">
      <c r="A21" s="1"/>
      <c r="B21" s="58"/>
      <c r="C21" s="58"/>
      <c r="D21" s="58"/>
      <c r="E21" s="58"/>
      <c r="F21" s="58"/>
      <c r="G21" s="58"/>
      <c r="H21" s="59" t="s">
        <v>208</v>
      </c>
      <c r="I21" s="59"/>
      <c r="J21" s="59"/>
      <c r="K21" s="60">
        <f>K20*5/100</f>
      </c>
      <c r="L21" s="58"/>
    </row>
    <row r="22" ht="26" customHeight="1" spans="1:12" x14ac:dyDescent="0.25">
      <c r="A22" s="1"/>
      <c r="B22" s="61"/>
      <c r="C22" s="61"/>
      <c r="D22" s="61"/>
      <c r="E22" s="61"/>
      <c r="F22" s="61"/>
      <c r="G22" s="61"/>
      <c r="H22" s="62" t="s">
        <v>209</v>
      </c>
      <c r="I22" s="62"/>
      <c r="J22" s="62"/>
      <c r="K22" s="63">
        <f>K20+K21</f>
      </c>
      <c r="L22" s="61"/>
    </row>
    <row r="24" ht="20" customHeight="1" spans="1:12" x14ac:dyDescent="0.25">
      <c r="A24" s="1"/>
      <c r="B24" s="58"/>
      <c r="C24" s="58"/>
      <c r="D24" s="58"/>
      <c r="E24" s="58"/>
      <c r="F24" s="58"/>
      <c r="G24" s="58"/>
      <c r="H24" s="59" t="s">
        <v>210</v>
      </c>
      <c r="I24" s="59"/>
      <c r="J24" s="59"/>
      <c r="K24" s="60">
        <f>'Takeoff'!K25</f>
      </c>
      <c r="L24" s="58"/>
    </row>
    <row r="25" ht="20" customHeight="1" spans="1:12" x14ac:dyDescent="0.25">
      <c r="A25" s="1"/>
      <c r="B25" s="58"/>
      <c r="C25" s="58"/>
      <c r="D25" s="58"/>
      <c r="E25" s="58"/>
      <c r="F25" s="58"/>
      <c r="G25" s="58"/>
      <c r="H25" s="59" t="s">
        <v>211</v>
      </c>
      <c r="I25" s="59"/>
      <c r="J25" s="59"/>
      <c r="K25" s="93">
        <f>ROUND(K20-K24,2)</f>
      </c>
      <c r="L25" s="58"/>
    </row>
    <row r="27" ht="4" customHeight="1" spans="1:1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ht="20" customHeight="1" spans="1:12" x14ac:dyDescent="0.25">
      <c r="A28" s="35" t="s">
        <v>212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</row>
  </sheetData>
  <mergeCells count="13">
    <mergeCell ref="B2:L2"/>
    <mergeCell ref="B3:L3"/>
    <mergeCell ref="B5:L5"/>
    <mergeCell ref="C8:J8"/>
    <mergeCell ref="K8:L8"/>
    <mergeCell ref="C17:J17"/>
    <mergeCell ref="K17:L17"/>
    <mergeCell ref="H20:J20"/>
    <mergeCell ref="H21:J21"/>
    <mergeCell ref="H22:J22"/>
    <mergeCell ref="H24:J24"/>
    <mergeCell ref="H25:J25"/>
    <mergeCell ref="A28:L28"/>
  </mergeCells>
  <pageMargins left="0.4" right="0.4" top="0.5" bottom="0.5" header="0.2" footer="0.2"/>
  <pageSetup paperSize="9"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7A8D"/>
    <pageSetUpPr fitToPage="1"/>
  </sheetPr>
  <dimension ref="A1:G14"/>
  <sheetViews>
    <sheetView workbookViewId="0" showGridLines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2.5" customWidth="1"/>
    <col min="2" max="2" width="17" customWidth="1"/>
    <col min="3" max="3" width="16" customWidth="1"/>
    <col min="4" max="4" width="12" customWidth="1"/>
    <col min="5" max="5" width="38" customWidth="1"/>
    <col min="6" max="7" width="28" customWidth="1"/>
  </cols>
  <sheetData>
    <row r="1" ht="5" customHeight="1" spans="1:7" x14ac:dyDescent="0.25">
      <c r="A1" s="1"/>
      <c r="B1" s="1"/>
      <c r="C1" s="1"/>
      <c r="D1" s="1"/>
      <c r="E1" s="1"/>
      <c r="F1" s="1"/>
      <c r="G1" s="1"/>
    </row>
    <row r="2" ht="34" customHeight="1" spans="1:7" x14ac:dyDescent="0.25">
      <c r="A2" s="1"/>
      <c r="B2" s="2" t="s">
        <v>213</v>
      </c>
      <c r="C2" s="2"/>
      <c r="D2" s="2"/>
      <c r="E2" s="2"/>
      <c r="F2" s="2"/>
      <c r="G2" s="2"/>
    </row>
    <row r="3" ht="20" customHeight="1" spans="1:7" x14ac:dyDescent="0.25">
      <c r="A3" s="1"/>
      <c r="B3" s="3" t="s">
        <v>73</v>
      </c>
      <c r="C3" s="3"/>
      <c r="D3" s="3"/>
      <c r="E3" s="3"/>
      <c r="F3" s="3"/>
      <c r="G3" s="3"/>
    </row>
    <row r="4" ht="3" customHeight="1" spans="1:7" x14ac:dyDescent="0.25">
      <c r="A4" s="1"/>
      <c r="B4" s="1"/>
      <c r="C4" s="1"/>
      <c r="D4" s="1"/>
      <c r="E4" s="1"/>
      <c r="F4" s="1"/>
      <c r="G4" s="1"/>
    </row>
    <row r="5" ht="20" customHeight="1" spans="1:7" x14ac:dyDescent="0.25">
      <c r="A5" s="1"/>
      <c r="B5" s="36" t="s">
        <v>214</v>
      </c>
      <c r="C5" s="36"/>
      <c r="D5" s="36"/>
      <c r="E5" s="36"/>
      <c r="F5" s="36"/>
      <c r="G5" s="36"/>
    </row>
    <row r="6" ht="6" customHeight="1" x14ac:dyDescent="0.25"/>
    <row r="7" ht="28" customHeight="1" spans="1:7" x14ac:dyDescent="0.25">
      <c r="A7" s="1"/>
      <c r="B7" s="13" t="s">
        <v>215</v>
      </c>
      <c r="C7" s="13" t="s">
        <v>216</v>
      </c>
      <c r="D7" s="12" t="s">
        <v>217</v>
      </c>
      <c r="E7" s="13" t="s">
        <v>75</v>
      </c>
      <c r="F7" s="13" t="s">
        <v>218</v>
      </c>
      <c r="G7" s="13" t="s">
        <v>219</v>
      </c>
    </row>
    <row r="8" ht="18" customHeight="1" spans="1:7" x14ac:dyDescent="0.25">
      <c r="A8" s="1"/>
      <c r="B8" s="94">
        <v>46309.21133011574</v>
      </c>
      <c r="C8" s="16" t="s">
        <v>220</v>
      </c>
      <c r="D8" s="15" t="s">
        <v>79</v>
      </c>
      <c r="E8" s="16" t="s">
        <v>162</v>
      </c>
      <c r="F8" s="95" t="s">
        <v>111</v>
      </c>
      <c r="G8" s="16" t="s">
        <v>92</v>
      </c>
    </row>
    <row r="9" ht="18" customHeight="1" spans="1:7" x14ac:dyDescent="0.25">
      <c r="A9" s="1"/>
      <c r="B9" s="96">
        <v>46309.21128664352</v>
      </c>
      <c r="C9" s="23" t="s">
        <v>220</v>
      </c>
      <c r="D9" s="97" t="s">
        <v>221</v>
      </c>
      <c r="E9" s="23" t="s">
        <v>162</v>
      </c>
      <c r="F9" s="57" t="s">
        <v>33</v>
      </c>
      <c r="G9" s="23" t="s">
        <v>222</v>
      </c>
    </row>
    <row r="10" ht="18" customHeight="1" spans="1:7" x14ac:dyDescent="0.25">
      <c r="A10" s="1"/>
      <c r="B10" s="94">
        <v>46309.19820778935</v>
      </c>
      <c r="C10" s="16" t="s">
        <v>220</v>
      </c>
      <c r="D10" s="15" t="s">
        <v>80</v>
      </c>
      <c r="E10" s="16" t="s">
        <v>85</v>
      </c>
      <c r="F10" s="95" t="s">
        <v>223</v>
      </c>
      <c r="G10" s="16" t="s">
        <v>224</v>
      </c>
    </row>
    <row r="11" ht="18" customHeight="1" spans="1:7" x14ac:dyDescent="0.25">
      <c r="A11" s="1"/>
      <c r="B11" s="96">
        <v>46308.44451659722</v>
      </c>
      <c r="C11" s="23" t="s">
        <v>220</v>
      </c>
      <c r="D11" s="48" t="s">
        <v>225</v>
      </c>
      <c r="E11" s="23" t="s">
        <v>55</v>
      </c>
      <c r="F11" s="57" t="s">
        <v>226</v>
      </c>
      <c r="G11" s="23" t="s">
        <v>227</v>
      </c>
    </row>
    <row r="13" ht="4" customHeight="1" spans="1:7" x14ac:dyDescent="0.25">
      <c r="A13" s="1"/>
      <c r="B13" s="1"/>
      <c r="C13" s="1"/>
      <c r="D13" s="1"/>
      <c r="E13" s="1"/>
      <c r="F13" s="1"/>
      <c r="G13" s="1"/>
    </row>
    <row r="14" ht="20" customHeight="1" spans="1:7" x14ac:dyDescent="0.25">
      <c r="A14" s="35" t="s">
        <v>228</v>
      </c>
      <c r="B14" s="35"/>
      <c r="C14" s="35"/>
      <c r="D14" s="35"/>
      <c r="E14" s="35"/>
      <c r="F14" s="35"/>
      <c r="G14" s="35"/>
    </row>
  </sheetData>
  <autoFilter ref="B7:G7"/>
  <mergeCells count="4">
    <mergeCell ref="B2:G2"/>
    <mergeCell ref="B3:G3"/>
    <mergeCell ref="B5:G5"/>
    <mergeCell ref="A14:G14"/>
  </mergeCells>
  <pageMargins left="0.4" right="0.4" top="0.5" bottom="0.5" header="0.2" footer="0.2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Takeoff</vt:lpstr>
      <vt:lpstr>Bill of Quantities</vt:lpstr>
      <vt:lpstr>BOQ_Matrix</vt:lpstr>
      <vt:lpstr>Materials</vt:lpstr>
      <vt:lpstr>Cost_Breakdown</vt:lpstr>
      <vt:lpstr>Change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Foldrule</dc:creator>
  <dc:title>RAK Doors — Bill of quantities</dc:title>
  <dc:subject/>
  <dc:description/>
  <cp:keywords/>
  <cp:category/>
  <cp:lastModifiedBy>Unknown</cp:lastModifiedBy>
  <dcterms:created xsi:type="dcterms:W3CDTF">2026-10-14T10:02:17Z</dcterms:created>
  <dcterms:modified xsi:type="dcterms:W3CDTF">2026-10-14T10:02:17Z</dcterms:modified>
</cp:coreProperties>
</file>