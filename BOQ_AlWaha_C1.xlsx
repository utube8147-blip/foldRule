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Q_Matrix" sheetId="2" state="visible" r:id="rId2"/>
    <sheet name="Materials_List" sheetId="3" state="visible" r:id="rId3"/>
    <sheet name="Cost_Breakdow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&quot;AED &quot;#,##0.00"/>
  </numFmts>
  <fonts count="3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C8A84B"/>
      <sz val="10"/>
    </font>
    <font>
      <name val="Calibri"/>
      <b val="1"/>
      <color rgb="00C8A84B"/>
      <sz val="10"/>
    </font>
    <font>
      <name val="Calibri"/>
      <b val="1"/>
      <color rgb="006C7A8D"/>
      <sz val="9"/>
    </font>
    <font>
      <name val="Calibri"/>
      <b val="1"/>
      <color rgb="000D1B2A"/>
      <sz val="10"/>
    </font>
    <font>
      <name val="Calibri"/>
      <b val="1"/>
      <color rgb="00FFFFFF"/>
      <sz val="9"/>
    </font>
    <font>
      <name val="Calibri"/>
      <color rgb="000D1B2A"/>
      <sz val="10"/>
    </font>
    <font>
      <name val="Calibri"/>
      <color rgb="001C1C1C"/>
      <sz val="10"/>
    </font>
    <font>
      <name val="Calibri"/>
      <i val="1"/>
      <color rgb="006C7A8D"/>
      <sz val="8"/>
    </font>
    <font>
      <name val="Calibri"/>
      <b val="1"/>
      <color rgb="00FFFFFF"/>
      <sz val="14"/>
    </font>
    <font>
      <name val="Calibri"/>
      <b val="1"/>
      <color rgb="001A3A5C"/>
      <sz val="11"/>
    </font>
    <font>
      <name val="Calibri"/>
      <b val="1"/>
      <color rgb="00C8A84B"/>
      <sz val="11"/>
    </font>
    <font>
      <name val="Calibri"/>
      <i val="1"/>
      <color rgb="00B8962E"/>
      <sz val="10"/>
    </font>
    <font>
      <name val="Calibri"/>
      <b val="1"/>
      <color rgb="00FFFFFF"/>
      <sz val="11"/>
    </font>
    <font>
      <name val="Calibri"/>
      <b val="1"/>
      <color rgb="000D1B2A"/>
      <sz val="11"/>
    </font>
    <font>
      <name val="Calibri"/>
      <color rgb="002C3E50"/>
      <sz val="10"/>
    </font>
    <font>
      <name val="Calibri"/>
      <color rgb="005A6C7D"/>
      <sz val="10"/>
    </font>
    <font>
      <name val="Calibri"/>
      <color rgb="003A5C8A"/>
      <sz val="10"/>
    </font>
    <font>
      <name val="Calibri"/>
      <b val="1"/>
      <color rgb="001A5C3A"/>
      <sz val="10"/>
    </font>
    <font>
      <name val="Calibri"/>
      <color rgb="002A6496"/>
      <sz val="10"/>
    </font>
    <font>
      <name val="Calibri"/>
      <i val="1"/>
      <color rgb="008A9BAE"/>
      <sz val="9"/>
    </font>
    <font>
      <name val="Calibri"/>
      <b val="1"/>
      <color rgb="00B8962E"/>
      <sz val="10"/>
    </font>
    <font>
      <name val="Calibri"/>
      <color rgb="002C3E50"/>
      <sz val="11"/>
    </font>
    <font>
      <name val="Calibri"/>
      <b val="1"/>
      <color rgb="001C1C1C"/>
      <sz val="11"/>
    </font>
    <font>
      <name val="Calibri"/>
      <color rgb="001C1C1C"/>
      <sz val="11"/>
    </font>
    <font>
      <name val="Calibri"/>
      <b val="1"/>
      <color rgb="00FF0000"/>
      <sz val="13"/>
    </font>
    <font>
      <name val="Calibri"/>
      <i val="1"/>
      <color rgb="006C7A8D"/>
      <sz val="9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B8962E"/>
      <sz val="12"/>
    </font>
    <font>
      <name val="Calibri"/>
      <b val="1"/>
      <color rgb="001A5C3A"/>
      <sz val="11"/>
    </font>
    <font>
      <name val="Calibri"/>
      <color rgb="006C7A8D"/>
      <sz val="10"/>
    </font>
    <font>
      <name val="Calibri"/>
      <b val="1"/>
      <color rgb="00C8A84B"/>
      <sz val="12"/>
    </font>
    <font>
      <name val="Calibri"/>
      <b val="1"/>
      <color rgb="00C8A84B"/>
      <sz val="13"/>
    </font>
    <font>
      <name val="Calibri"/>
      <b val="1"/>
      <color rgb="00B8962E"/>
      <sz val="13"/>
    </font>
  </fonts>
  <fills count="20">
    <fill>
      <patternFill/>
    </fill>
    <fill>
      <patternFill patternType="gray125"/>
    </fill>
    <fill>
      <patternFill patternType="solid">
        <fgColor rgb="00B8962E"/>
      </patternFill>
    </fill>
    <fill>
      <patternFill patternType="solid">
        <fgColor rgb="000D1B2A"/>
      </patternFill>
    </fill>
    <fill>
      <patternFill patternType="solid">
        <fgColor rgb="001A3A5C"/>
      </patternFill>
    </fill>
    <fill>
      <patternFill patternType="solid">
        <fgColor rgb="002C3E50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C8A84B"/>
      </patternFill>
    </fill>
    <fill>
      <patternFill patternType="solid">
        <fgColor rgb="00E8F5E9"/>
      </patternFill>
    </fill>
    <fill>
      <patternFill patternType="solid">
        <fgColor rgb="00EBF3FA"/>
      </patternFill>
    </fill>
    <fill>
      <patternFill patternType="solid">
        <fgColor rgb="00F8F9FC"/>
      </patternFill>
    </fill>
    <fill>
      <patternFill patternType="solid">
        <fgColor rgb="00FFF8E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BF5FB"/>
      </patternFill>
    </fill>
    <fill>
      <patternFill patternType="solid">
        <fgColor rgb="00F0F2F5"/>
      </patternFill>
    </fill>
    <fill>
      <patternFill patternType="solid">
        <fgColor rgb="00F2F4F8"/>
      </patternFill>
    </fill>
    <fill>
      <patternFill patternType="solid">
        <fgColor rgb="00D6F0E0"/>
      </patternFill>
    </fill>
  </fills>
  <borders count="37">
    <border>
      <left/>
      <right/>
      <top/>
      <bottom/>
      <diagonal/>
    </border>
    <border>
      <bottom style="medium">
        <color rgb="00B8962E"/>
      </bottom>
    </border>
    <border>
      <left/>
      <right/>
      <top/>
      <bottom style="medium">
        <color rgb="00B8962E"/>
      </bottom>
      <diagonal/>
    </border>
    <border>
      <top style="medium">
        <color rgb="00B8962E"/>
      </top>
      <bottom style="thin">
        <color rgb="00C8A84B"/>
      </bottom>
    </border>
    <border>
      <left/>
      <right/>
      <top style="medium">
        <color rgb="00B8962E"/>
      </top>
      <bottom/>
      <diagonal/>
    </border>
    <border>
      <left/>
      <right/>
      <top style="medium">
        <color rgb="00B8962E"/>
      </top>
      <bottom style="thin">
        <color rgb="00C8A84B"/>
      </bottom>
      <diagonal/>
    </border>
    <border>
      <bottom style="thin">
        <color rgb="00DDEEFF"/>
      </bottom>
    </border>
    <border>
      <left style="medium">
        <color rgb="00B8962E"/>
      </left>
      <bottom style="thin">
        <color rgb="00DDEEFF"/>
      </bottom>
    </border>
    <border>
      <right style="medium">
        <color rgb="00B8962E"/>
      </right>
      <bottom style="thin">
        <color rgb="00DDEEFF"/>
      </bottom>
    </border>
    <border>
      <bottom style="thin">
        <color rgb="00E8E8E8"/>
      </bottom>
    </border>
    <border>
      <left style="medium">
        <color rgb="00B8962E"/>
      </left>
      <bottom style="thin">
        <color rgb="00E8E8E8"/>
      </bottom>
    </border>
    <border>
      <right style="medium">
        <color rgb="00B8962E"/>
      </right>
      <bottom style="thin">
        <color rgb="00E8E8E8"/>
      </bottom>
    </border>
    <border>
      <top style="medium">
        <color rgb="00B8962E"/>
      </top>
      <bottom style="medium">
        <color rgb="00B8962E"/>
      </bottom>
    </border>
    <border>
      <left style="medium">
        <color rgb="00B8962E"/>
      </left>
      <right style="thin">
        <color rgb="00C8A84B"/>
      </right>
      <top style="medium">
        <color rgb="00B8962E"/>
      </top>
      <bottom style="medium">
        <color rgb="00B8962E"/>
      </bottom>
    </border>
    <border>
      <left style="medium">
        <color rgb="00C8A84B"/>
      </left>
      <right style="medium">
        <color rgb="00C8A84B"/>
      </right>
      <top style="medium">
        <color rgb="00C8A84B"/>
      </top>
      <bottom style="medium">
        <color rgb="00C8A84B"/>
      </bottom>
    </border>
    <border>
      <left style="medium">
        <color rgb="00B8962E"/>
      </left>
      <right style="medium">
        <color rgb="00B8962E"/>
      </right>
      <top style="thin">
        <color rgb="00B8962E"/>
      </top>
      <bottom style="thin">
        <color rgb="00B8962E"/>
      </bottom>
    </border>
    <border>
      <left style="thin">
        <color rgb="00EEF2F7"/>
      </left>
      <right style="thin">
        <color rgb="00EEF2F7"/>
      </right>
      <top style="thin">
        <color rgb="00EEF2F7"/>
      </top>
      <bottom style="thin">
        <color rgb="00EEF2F7"/>
      </bottom>
    </border>
    <border>
      <left style="thin">
        <color rgb="00E8ECF1"/>
      </left>
      <right style="thin">
        <color rgb="00E8ECF1"/>
      </right>
      <top style="thin">
        <color rgb="00E8ECF1"/>
      </top>
      <bottom style="thin">
        <color rgb="00E8ECF1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medium">
        <color rgb="00B8962E"/>
      </top>
      <bottom style="medium">
        <color rgb="00B8962E"/>
      </bottom>
      <diagonal/>
    </border>
    <border>
      <left style="thin">
        <color rgb="00C8A84B"/>
      </left>
      <right style="thin">
        <color rgb="00C8A84B"/>
      </right>
      <top style="medium">
        <color rgb="00B8962E"/>
      </top>
      <bottom style="medium">
        <color rgb="00B8962E"/>
      </bottom>
    </border>
    <border>
      <left style="thin">
        <color rgb="00E8EDF5"/>
      </left>
      <right style="thin">
        <color rgb="00E8EDF5"/>
      </right>
      <top style="thin">
        <color rgb="00E8EDF5"/>
      </top>
      <bottom style="thin">
        <color rgb="00E8EDF5"/>
      </bottom>
    </border>
    <border>
      <bottom style="thin">
        <color rgb="00E0C060"/>
      </bottom>
    </border>
    <border>
      <left/>
      <right/>
      <top style="thin">
        <color rgb="00E8EDF5"/>
      </top>
      <bottom/>
      <diagonal/>
    </border>
    <border>
      <left/>
      <right style="thin">
        <color rgb="00E8EDF5"/>
      </right>
      <top style="thin">
        <color rgb="00E8EDF5"/>
      </top>
      <bottom/>
      <diagonal/>
    </border>
    <border>
      <left/>
      <right/>
      <top style="thin">
        <color rgb="00E8EDF5"/>
      </top>
      <bottom style="thin">
        <color rgb="00E8EDF5"/>
      </bottom>
      <diagonal/>
    </border>
    <border>
      <left/>
      <right style="thin">
        <color rgb="00E8EDF5"/>
      </right>
      <top style="thin">
        <color rgb="00E8EDF5"/>
      </top>
      <bottom style="thin">
        <color rgb="00E8EDF5"/>
      </bottom>
      <diagonal/>
    </border>
    <border>
      <left style="thin">
        <color rgb="00DDE3EE"/>
      </left>
      <right style="thin">
        <color rgb="00DDE3EE"/>
      </right>
      <top style="thin">
        <color rgb="00DDE3EE"/>
      </top>
      <bottom style="thin">
        <color rgb="00DDE3EE"/>
      </bottom>
    </border>
    <border>
      <left/>
      <right/>
      <top style="thin">
        <color rgb="00DDE3EE"/>
      </top>
      <bottom/>
      <diagonal/>
    </border>
    <border>
      <left/>
      <right style="thin">
        <color rgb="00DDE3EE"/>
      </right>
      <top style="thin">
        <color rgb="00DDE3EE"/>
      </top>
      <bottom/>
      <diagonal/>
    </border>
    <border>
      <left/>
      <right/>
      <top style="thin">
        <color rgb="00DDE3EE"/>
      </top>
      <bottom style="thin">
        <color rgb="00DDE3EE"/>
      </bottom>
      <diagonal/>
    </border>
    <border>
      <left/>
      <right style="thin">
        <color rgb="00DDE3EE"/>
      </right>
      <top style="thin">
        <color rgb="00DDE3EE"/>
      </top>
      <bottom style="thin">
        <color rgb="00DDE3EE"/>
      </bottom>
      <diagonal/>
    </border>
    <border>
      <left style="thin">
        <color rgb="00DDEEFF"/>
      </left>
      <right style="thin">
        <color rgb="00DDEEFF"/>
      </right>
      <top style="thin">
        <color rgb="00DDEEFF"/>
      </top>
      <bottom style="thin">
        <color rgb="00DDEEFF"/>
      </bottom>
    </border>
    <border>
      <left style="thin">
        <color rgb="00DDEEFF"/>
      </left>
      <right style="medium">
        <color rgb="00B8962E"/>
      </right>
      <top style="thin">
        <color rgb="00DDEEFF"/>
      </top>
      <bottom style="thin">
        <color rgb="00DDEEFF"/>
      </bottom>
    </border>
    <border>
      <left style="thin">
        <color rgb="00E8E8E8"/>
      </left>
      <right style="thin">
        <color rgb="00E8E8E8"/>
      </right>
      <top style="thin">
        <color rgb="00E8E8E8"/>
      </top>
      <bottom style="thin">
        <color rgb="00E8E8E8"/>
      </bottom>
    </border>
    <border>
      <left style="thin">
        <color rgb="00E8E8E8"/>
      </left>
      <right style="medium">
        <color rgb="00B8962E"/>
      </right>
      <top style="thin">
        <color rgb="00E8E8E8"/>
      </top>
      <bottom style="thin">
        <color rgb="00E8E8E8"/>
      </bottom>
    </border>
    <border>
      <left style="medium">
        <color rgb="00B8962E"/>
      </left>
      <right style="medium">
        <color rgb="00B8962E"/>
      </right>
      <top style="medium">
        <color rgb="00B8962E"/>
      </top>
      <bottom style="medium">
        <color rgb="00B8962E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3" borderId="1" pivotButton="0" quotePrefix="0" xfId="0"/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3" pivotButton="0" quotePrefix="0" xfId="0"/>
    <xf numFmtId="0" fontId="3" fillId="5" borderId="3" applyAlignment="1" pivotButton="0" quotePrefix="0" xfId="0">
      <alignment horizontal="left" vertical="center"/>
    </xf>
    <xf numFmtId="0" fontId="0" fillId="0" borderId="5" pivotButton="0" quotePrefix="0" xfId="0"/>
    <xf numFmtId="0" fontId="0" fillId="5" borderId="3" pivotButton="0" quotePrefix="0" xfId="0"/>
    <xf numFmtId="0" fontId="0" fillId="2" borderId="6" pivotButton="0" quotePrefix="0" xfId="0"/>
    <xf numFmtId="0" fontId="4" fillId="6" borderId="7" applyAlignment="1" pivotButton="0" quotePrefix="0" xfId="0">
      <alignment horizontal="left" vertical="center"/>
    </xf>
    <xf numFmtId="0" fontId="5" fillId="6" borderId="8" applyAlignment="1" pivotButton="0" quotePrefix="0" xfId="0">
      <alignment horizontal="left" vertical="center"/>
    </xf>
    <xf numFmtId="0" fontId="0" fillId="6" borderId="6" pivotButton="0" quotePrefix="0" xfId="0"/>
    <xf numFmtId="0" fontId="0" fillId="2" borderId="9" pivotButton="0" quotePrefix="0" xfId="0"/>
    <xf numFmtId="0" fontId="4" fillId="7" borderId="10" applyAlignment="1" pivotButton="0" quotePrefix="0" xfId="0">
      <alignment horizontal="left" vertical="center"/>
    </xf>
    <xf numFmtId="0" fontId="5" fillId="7" borderId="11" applyAlignment="1" pivotButton="0" quotePrefix="0" xfId="0">
      <alignment horizontal="left" vertical="center"/>
    </xf>
    <xf numFmtId="0" fontId="0" fillId="7" borderId="9" pivotButton="0" quotePrefix="0" xfId="0"/>
    <xf numFmtId="0" fontId="0" fillId="2" borderId="12" pivotButton="0" quotePrefix="0" xfId="0"/>
    <xf numFmtId="0" fontId="6" fillId="4" borderId="12" applyAlignment="1" pivotButton="0" quotePrefix="0" xfId="0">
      <alignment horizontal="center" vertical="center"/>
    </xf>
    <xf numFmtId="0" fontId="0" fillId="4" borderId="12" pivotButton="0" quotePrefix="0" xfId="0"/>
    <xf numFmtId="0" fontId="7" fillId="6" borderId="7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/>
    </xf>
    <xf numFmtId="0" fontId="7" fillId="6" borderId="8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8" fillId="7" borderId="9" applyAlignment="1" pivotButton="0" quotePrefix="0" xfId="0">
      <alignment horizontal="left" vertical="center"/>
    </xf>
    <xf numFmtId="0" fontId="7" fillId="7" borderId="1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0" fillId="4" borderId="1" pivotButton="0" quotePrefix="0" xfId="0"/>
    <xf numFmtId="0" fontId="11" fillId="4" borderId="1" pivotButton="0" quotePrefix="0" xfId="0"/>
    <xf numFmtId="0" fontId="0" fillId="3" borderId="12" pivotButton="0" quotePrefix="0" xfId="0"/>
    <xf numFmtId="0" fontId="12" fillId="4" borderId="13" applyAlignment="1" pivotButton="0" quotePrefix="0" xfId="0">
      <alignment horizontal="center" vertical="center"/>
    </xf>
    <xf numFmtId="0" fontId="1" fillId="3" borderId="12" applyAlignment="1" pivotButton="0" quotePrefix="0" xfId="0">
      <alignment horizontal="left" vertical="center"/>
    </xf>
    <xf numFmtId="0" fontId="13" fillId="3" borderId="12" applyAlignment="1" pivotButton="0" quotePrefix="0" xfId="0">
      <alignment horizontal="right" vertical="center" wrapText="1"/>
    </xf>
    <xf numFmtId="0" fontId="14" fillId="4" borderId="14" applyAlignment="1" pivotButton="0" quotePrefix="0" xfId="0">
      <alignment horizontal="center" vertical="center" wrapText="1"/>
    </xf>
    <xf numFmtId="0" fontId="0" fillId="5" borderId="14" pivotButton="0" quotePrefix="0" xfId="0"/>
    <xf numFmtId="0" fontId="0" fillId="8" borderId="0" pivotButton="0" quotePrefix="0" xfId="0"/>
    <xf numFmtId="0" fontId="11" fillId="8" borderId="0" applyAlignment="1" pivotButton="0" quotePrefix="0" xfId="0">
      <alignment horizontal="left" vertical="center"/>
    </xf>
    <xf numFmtId="164" fontId="15" fillId="9" borderId="15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/>
    </xf>
    <xf numFmtId="0" fontId="16" fillId="7" borderId="16" applyAlignment="1" pivotButton="0" quotePrefix="0" xfId="0">
      <alignment horizontal="left" vertical="center" wrapText="1"/>
    </xf>
    <xf numFmtId="0" fontId="17" fillId="7" borderId="16" applyAlignment="1" pivotButton="0" quotePrefix="0" xfId="0">
      <alignment horizontal="center" vertical="center"/>
    </xf>
    <xf numFmtId="0" fontId="0" fillId="7" borderId="16" applyAlignment="1" pivotButton="0" quotePrefix="0" xfId="0">
      <alignment horizontal="center" vertical="center"/>
    </xf>
    <xf numFmtId="164" fontId="18" fillId="7" borderId="16" applyAlignment="1" pivotButton="0" quotePrefix="0" xfId="0">
      <alignment horizontal="center" vertical="center"/>
    </xf>
    <xf numFmtId="164" fontId="17" fillId="7" borderId="16" applyAlignment="1" pivotButton="0" quotePrefix="0" xfId="0">
      <alignment horizontal="center" vertical="center"/>
    </xf>
    <xf numFmtId="164" fontId="19" fillId="10" borderId="16" applyAlignment="1" pivotButton="0" quotePrefix="0" xfId="0">
      <alignment horizontal="center" vertical="center"/>
    </xf>
    <xf numFmtId="164" fontId="20" fillId="11" borderId="16" applyAlignment="1" pivotButton="0" quotePrefix="0" xfId="0">
      <alignment horizontal="center" vertical="center"/>
    </xf>
    <xf numFmtId="0" fontId="0" fillId="7" borderId="16" pivotButton="0" quotePrefix="0" xfId="0"/>
    <xf numFmtId="0" fontId="21" fillId="7" borderId="16" applyAlignment="1" pivotButton="0" quotePrefix="0" xfId="0">
      <alignment horizontal="left" vertical="center" wrapText="1"/>
    </xf>
    <xf numFmtId="0" fontId="5" fillId="12" borderId="17" applyAlignment="1" pivotButton="0" quotePrefix="0" xfId="0">
      <alignment horizontal="center" vertical="center"/>
    </xf>
    <xf numFmtId="0" fontId="16" fillId="12" borderId="17" applyAlignment="1" pivotButton="0" quotePrefix="0" xfId="0">
      <alignment horizontal="left" vertical="center" wrapText="1"/>
    </xf>
    <xf numFmtId="0" fontId="17" fillId="12" borderId="17" applyAlignment="1" pivotButton="0" quotePrefix="0" xfId="0">
      <alignment horizontal="center" vertical="center"/>
    </xf>
    <xf numFmtId="0" fontId="0" fillId="12" borderId="17" applyAlignment="1" pivotButton="0" quotePrefix="0" xfId="0">
      <alignment horizontal="center" vertical="center"/>
    </xf>
    <xf numFmtId="164" fontId="18" fillId="12" borderId="17" applyAlignment="1" pivotButton="0" quotePrefix="0" xfId="0">
      <alignment horizontal="center" vertical="center"/>
    </xf>
    <xf numFmtId="164" fontId="17" fillId="12" borderId="17" applyAlignment="1" pivotButton="0" quotePrefix="0" xfId="0">
      <alignment horizontal="center" vertical="center"/>
    </xf>
    <xf numFmtId="164" fontId="19" fillId="10" borderId="17" applyAlignment="1" pivotButton="0" quotePrefix="0" xfId="0">
      <alignment horizontal="center" vertical="center"/>
    </xf>
    <xf numFmtId="164" fontId="20" fillId="11" borderId="17" applyAlignment="1" pivotButton="0" quotePrefix="0" xfId="0">
      <alignment horizontal="center" vertical="center"/>
    </xf>
    <xf numFmtId="0" fontId="0" fillId="12" borderId="17" pivotButton="0" quotePrefix="0" xfId="0"/>
    <xf numFmtId="0" fontId="21" fillId="12" borderId="17" applyAlignment="1" pivotButton="0" quotePrefix="0" xfId="0">
      <alignment horizontal="left" vertical="center" wrapText="1"/>
    </xf>
    <xf numFmtId="0" fontId="22" fillId="13" borderId="17" applyAlignment="1" pivotButton="0" quotePrefix="0" xfId="0">
      <alignment horizontal="center" vertical="center"/>
    </xf>
    <xf numFmtId="0" fontId="22" fillId="13" borderId="16" applyAlignment="1" pivotButton="0" quotePrefix="0" xfId="0">
      <alignment horizontal="center" vertical="center"/>
    </xf>
    <xf numFmtId="164" fontId="22" fillId="12" borderId="17" applyAlignment="1" pivotButton="0" quotePrefix="0" xfId="0">
      <alignment horizontal="center" vertical="center"/>
    </xf>
    <xf numFmtId="0" fontId="23" fillId="8" borderId="15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164" fontId="25" fillId="14" borderId="18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4" fillId="15" borderId="18" applyAlignment="1" pivotButton="0" quotePrefix="0" xfId="0">
      <alignment horizontal="center" vertical="center"/>
    </xf>
    <xf numFmtId="164" fontId="25" fillId="15" borderId="18" applyAlignment="1" pivotButton="0" quotePrefix="0" xfId="0">
      <alignment horizontal="center" vertical="center"/>
    </xf>
    <xf numFmtId="0" fontId="6" fillId="4" borderId="20" applyAlignment="1" pivotButton="0" quotePrefix="0" xfId="0">
      <alignment horizontal="center" vertical="center" wrapText="1"/>
    </xf>
    <xf numFmtId="0" fontId="14" fillId="4" borderId="20" applyAlignment="1" pivotButton="0" quotePrefix="0" xfId="0">
      <alignment horizontal="left" vertical="center" wrapText="1"/>
    </xf>
    <xf numFmtId="0" fontId="28" fillId="4" borderId="20" applyAlignment="1" pivotButton="0" quotePrefix="0" xfId="0">
      <alignment horizontal="center" vertical="center" wrapText="1"/>
    </xf>
    <xf numFmtId="0" fontId="0" fillId="5" borderId="12" pivotButton="0" quotePrefix="0" xfId="0"/>
    <xf numFmtId="0" fontId="27" fillId="5" borderId="12" applyAlignment="1" pivotButton="0" quotePrefix="0" xfId="0">
      <alignment horizontal="center" vertical="center"/>
    </xf>
    <xf numFmtId="0" fontId="0" fillId="0" borderId="19" pivotButton="0" quotePrefix="0" xfId="0"/>
    <xf numFmtId="0" fontId="6" fillId="4" borderId="20" applyAlignment="1" pivotButton="0" quotePrefix="0" xfId="0">
      <alignment horizontal="left" vertical="center" wrapText="1"/>
    </xf>
    <xf numFmtId="0" fontId="0" fillId="2" borderId="22" pivotButton="0" quotePrefix="0" xfId="0"/>
    <xf numFmtId="0" fontId="5" fillId="7" borderId="21" applyAlignment="1" pivotButton="0" quotePrefix="0" xfId="0">
      <alignment horizontal="center" vertical="center"/>
    </xf>
    <xf numFmtId="0" fontId="8" fillId="7" borderId="21" applyAlignment="1" pivotButton="0" quotePrefix="0" xfId="0">
      <alignment horizontal="left" vertical="center" wrapText="1"/>
    </xf>
    <xf numFmtId="0" fontId="17" fillId="7" borderId="21" applyAlignment="1" pivotButton="0" quotePrefix="0" xfId="0">
      <alignment horizontal="center" vertical="center"/>
    </xf>
    <xf numFmtId="0" fontId="5" fillId="16" borderId="21" applyAlignment="1" pivotButton="0" quotePrefix="0" xfId="0">
      <alignment horizontal="center" vertical="center"/>
    </xf>
    <xf numFmtId="0" fontId="27" fillId="7" borderId="2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" fontId="19" fillId="10" borderId="21" applyAlignment="1" pivotButton="0" quotePrefix="0" xfId="0">
      <alignment horizontal="center" vertical="center"/>
    </xf>
    <xf numFmtId="0" fontId="27" fillId="17" borderId="21" applyAlignment="1" pivotButton="0" quotePrefix="0" xfId="0">
      <alignment horizontal="center" vertical="center"/>
    </xf>
    <xf numFmtId="0" fontId="21" fillId="7" borderId="21" applyAlignment="1" pivotButton="0" quotePrefix="0" xfId="0">
      <alignment horizontal="left" vertical="center" wrapText="1"/>
    </xf>
    <xf numFmtId="0" fontId="5" fillId="18" borderId="27" applyAlignment="1" pivotButton="0" quotePrefix="0" xfId="0">
      <alignment horizontal="center" vertical="center"/>
    </xf>
    <xf numFmtId="0" fontId="8" fillId="18" borderId="27" applyAlignment="1" pivotButton="0" quotePrefix="0" xfId="0">
      <alignment horizontal="left" vertical="center" wrapText="1"/>
    </xf>
    <xf numFmtId="0" fontId="17" fillId="18" borderId="27" applyAlignment="1" pivotButton="0" quotePrefix="0" xfId="0">
      <alignment horizontal="center" vertical="center"/>
    </xf>
    <xf numFmtId="0" fontId="5" fillId="16" borderId="27" applyAlignment="1" pivotButton="0" quotePrefix="0" xfId="0">
      <alignment horizontal="center" vertical="center"/>
    </xf>
    <xf numFmtId="0" fontId="27" fillId="18" borderId="27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1" fontId="19" fillId="10" borderId="27" applyAlignment="1" pivotButton="0" quotePrefix="0" xfId="0">
      <alignment horizontal="center" vertical="center"/>
    </xf>
    <xf numFmtId="0" fontId="27" fillId="17" borderId="27" applyAlignment="1" pivotButton="0" quotePrefix="0" xfId="0">
      <alignment horizontal="center" vertical="center"/>
    </xf>
    <xf numFmtId="0" fontId="21" fillId="18" borderId="27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/>
    </xf>
    <xf numFmtId="0" fontId="29" fillId="3" borderId="14" applyAlignment="1" pivotButton="0" quotePrefix="0" xfId="0">
      <alignment horizontal="center" vertical="center"/>
    </xf>
    <xf numFmtId="164" fontId="30" fillId="3" borderId="14" applyAlignment="1" pivotButton="0" quotePrefix="0" xfId="0">
      <alignment horizontal="center" vertical="center"/>
    </xf>
    <xf numFmtId="0" fontId="14" fillId="4" borderId="18" applyAlignment="1" pivotButton="0" quotePrefix="0" xfId="0">
      <alignment horizontal="center" vertical="center" wrapText="1"/>
    </xf>
    <xf numFmtId="0" fontId="0" fillId="7" borderId="18" pivotButton="0" quotePrefix="0" xfId="0"/>
    <xf numFmtId="0" fontId="0" fillId="3" borderId="0" pivotButton="0" quotePrefix="0" xfId="0"/>
    <xf numFmtId="0" fontId="10" fillId="3" borderId="1" applyAlignment="1" pivotButton="0" quotePrefix="0" xfId="0">
      <alignment horizontal="left" vertical="center"/>
    </xf>
    <xf numFmtId="0" fontId="0" fillId="6" borderId="0" pivotButton="0" quotePrefix="0" xfId="0"/>
    <xf numFmtId="0" fontId="27" fillId="6" borderId="0" applyAlignment="1" pivotButton="0" quotePrefix="0" xfId="0">
      <alignment horizontal="left" vertical="center"/>
    </xf>
    <xf numFmtId="0" fontId="5" fillId="6" borderId="7" applyAlignment="1" pivotButton="0" quotePrefix="0" xfId="0">
      <alignment horizontal="center" vertical="center"/>
    </xf>
    <xf numFmtId="0" fontId="27" fillId="6" borderId="32" applyAlignment="1" pivotButton="0" quotePrefix="0" xfId="0">
      <alignment horizontal="left" vertical="center"/>
    </xf>
    <xf numFmtId="0" fontId="8" fillId="6" borderId="32" applyAlignment="1" pivotButton="0" quotePrefix="0" xfId="0">
      <alignment horizontal="left" vertical="center" wrapText="1"/>
    </xf>
    <xf numFmtId="0" fontId="17" fillId="6" borderId="32" applyAlignment="1" pivotButton="0" quotePrefix="0" xfId="0">
      <alignment horizontal="center" vertical="center"/>
    </xf>
    <xf numFmtId="164" fontId="31" fillId="10" borderId="32" applyAlignment="1" pivotButton="0" quotePrefix="0" xfId="0">
      <alignment horizontal="center" vertical="center"/>
    </xf>
    <xf numFmtId="2" fontId="16" fillId="13" borderId="32" applyAlignment="1" pivotButton="0" quotePrefix="0" xfId="0">
      <alignment horizontal="center" vertical="center"/>
    </xf>
    <xf numFmtId="1" fontId="15" fillId="6" borderId="32" applyAlignment="1" pivotButton="0" quotePrefix="0" xfId="0">
      <alignment horizontal="center" vertical="center"/>
    </xf>
    <xf numFmtId="0" fontId="21" fillId="6" borderId="33" applyAlignment="1" pivotButton="0" quotePrefix="0" xfId="0">
      <alignment horizontal="left" vertical="center" wrapText="1"/>
    </xf>
    <xf numFmtId="0" fontId="5" fillId="7" borderId="10" applyAlignment="1" pivotButton="0" quotePrefix="0" xfId="0">
      <alignment horizontal="center" vertical="center"/>
    </xf>
    <xf numFmtId="0" fontId="27" fillId="7" borderId="34" applyAlignment="1" pivotButton="0" quotePrefix="0" xfId="0">
      <alignment horizontal="left" vertical="center"/>
    </xf>
    <xf numFmtId="0" fontId="8" fillId="7" borderId="34" applyAlignment="1" pivotButton="0" quotePrefix="0" xfId="0">
      <alignment horizontal="left" vertical="center" wrapText="1"/>
    </xf>
    <xf numFmtId="0" fontId="17" fillId="7" borderId="34" applyAlignment="1" pivotButton="0" quotePrefix="0" xfId="0">
      <alignment horizontal="center" vertical="center"/>
    </xf>
    <xf numFmtId="164" fontId="31" fillId="10" borderId="34" applyAlignment="1" pivotButton="0" quotePrefix="0" xfId="0">
      <alignment horizontal="center" vertical="center"/>
    </xf>
    <xf numFmtId="2" fontId="16" fillId="13" borderId="34" applyAlignment="1" pivotButton="0" quotePrefix="0" xfId="0">
      <alignment horizontal="center" vertical="center"/>
    </xf>
    <xf numFmtId="1" fontId="15" fillId="6" borderId="34" applyAlignment="1" pivotButton="0" quotePrefix="0" xfId="0">
      <alignment horizontal="center" vertical="center"/>
    </xf>
    <xf numFmtId="0" fontId="21" fillId="7" borderId="35" applyAlignment="1" pivotButton="0" quotePrefix="0" xfId="0">
      <alignment horizontal="left" vertical="center" wrapText="1"/>
    </xf>
    <xf numFmtId="0" fontId="32" fillId="6" borderId="32" applyAlignment="1" pivotButton="0" quotePrefix="0" xfId="0">
      <alignment horizontal="center" vertical="center"/>
    </xf>
    <xf numFmtId="0" fontId="32" fillId="7" borderId="34" applyAlignment="1" pivotButton="0" quotePrefix="0" xfId="0">
      <alignment horizontal="center" vertical="center"/>
    </xf>
    <xf numFmtId="0" fontId="12" fillId="5" borderId="12" applyAlignment="1" pivotButton="0" quotePrefix="0" xfId="0">
      <alignment horizontal="left" vertical="center"/>
    </xf>
    <xf numFmtId="1" fontId="5" fillId="10" borderId="34" applyAlignment="1" pivotButton="0" quotePrefix="0" xfId="0">
      <alignment horizontal="center" vertical="center"/>
    </xf>
    <xf numFmtId="1" fontId="31" fillId="10" borderId="34" applyAlignment="1" pivotButton="0" quotePrefix="0" xfId="0">
      <alignment horizontal="center" vertical="center"/>
    </xf>
    <xf numFmtId="1" fontId="5" fillId="10" borderId="32" applyAlignment="1" pivotButton="0" quotePrefix="0" xfId="0">
      <alignment horizontal="center" vertical="center"/>
    </xf>
    <xf numFmtId="1" fontId="31" fillId="10" borderId="32" applyAlignment="1" pivotButton="0" quotePrefix="0" xfId="0">
      <alignment horizontal="center" vertical="center"/>
    </xf>
    <xf numFmtId="165" fontId="31" fillId="19" borderId="15" applyAlignment="1" pivotButton="0" quotePrefix="0" xfId="0">
      <alignment horizontal="center" vertical="center"/>
    </xf>
    <xf numFmtId="165" fontId="15" fillId="6" borderId="32" applyAlignment="1" pivotButton="0" quotePrefix="0" xfId="0">
      <alignment horizontal="center" vertical="center"/>
    </xf>
    <xf numFmtId="165" fontId="15" fillId="6" borderId="34" applyAlignment="1" pivotButton="0" quotePrefix="0" xfId="0">
      <alignment horizontal="center" vertical="center"/>
    </xf>
    <xf numFmtId="0" fontId="0" fillId="5" borderId="0" pivotButton="0" quotePrefix="0" xfId="0"/>
    <xf numFmtId="0" fontId="29" fillId="5" borderId="12" applyAlignment="1" pivotButton="0" quotePrefix="0" xfId="0">
      <alignment horizontal="right" vertical="center"/>
    </xf>
    <xf numFmtId="165" fontId="1" fillId="5" borderId="36" applyAlignment="1" pivotButton="0" quotePrefix="0" xfId="0">
      <alignment horizontal="center" vertical="center"/>
    </xf>
    <xf numFmtId="0" fontId="33" fillId="4" borderId="12" applyAlignment="1" pivotButton="0" quotePrefix="0" xfId="0">
      <alignment horizontal="right" vertical="center"/>
    </xf>
    <xf numFmtId="165" fontId="34" fillId="4" borderId="36" applyAlignment="1" pivotButton="0" quotePrefix="0" xfId="0">
      <alignment horizontal="center" vertical="center"/>
    </xf>
    <xf numFmtId="0" fontId="29" fillId="3" borderId="12" applyAlignment="1" pivotButton="0" quotePrefix="0" xfId="0">
      <alignment horizontal="right" vertical="center"/>
    </xf>
    <xf numFmtId="165" fontId="35" fillId="3" borderId="3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36" customWidth="1" min="3" max="3"/>
    <col width="16" customWidth="1" min="4" max="4"/>
    <col width="16" customWidth="1" min="5" max="5"/>
  </cols>
  <sheetData>
    <row r="1" ht="4" customHeight="1">
      <c r="A1" s="1" t="n"/>
      <c r="B1" s="1" t="n"/>
      <c r="C1" s="1" t="n"/>
      <c r="D1" s="1" t="n"/>
      <c r="E1" s="1" t="n"/>
      <c r="F1" s="1" t="n"/>
    </row>
    <row r="2" ht="36" customHeight="1">
      <c r="A2" s="2" t="n"/>
      <c r="B2" s="3" t="inlineStr">
        <is>
          <t>BILL OF QUANTITIES  ·  KITCHEN FITOUT  ·  TYPE C01</t>
        </is>
      </c>
      <c r="C2" s="4" t="n"/>
      <c r="D2" s="4" t="n"/>
      <c r="E2" s="4" t="n"/>
      <c r="F2" s="5" t="n"/>
    </row>
    <row r="3" ht="20" customHeight="1">
      <c r="A3" s="1" t="n"/>
      <c r="B3" s="6" t="inlineStr">
        <is>
          <t>AL WAHA RESIDENCE 01   ·   EXPO CITY DUBAI   ·   Phase-01 – Mobility District</t>
        </is>
      </c>
      <c r="F3" s="7" t="n"/>
    </row>
    <row r="4" ht="3" customHeight="1">
      <c r="A4" s="1" t="n"/>
      <c r="B4" s="1" t="n"/>
      <c r="C4" s="1" t="n"/>
      <c r="D4" s="1" t="n"/>
      <c r="E4" s="1" t="n"/>
      <c r="F4" s="1" t="n"/>
    </row>
    <row r="5" ht="26" customHeight="1">
      <c r="A5" s="8" t="n"/>
      <c r="B5" s="9" t="inlineStr">
        <is>
          <t>PROJECT INFORMATION</t>
        </is>
      </c>
      <c r="C5" s="10" t="n"/>
      <c r="D5" s="10" t="n"/>
      <c r="E5" s="10" t="n"/>
      <c r="F5" s="11" t="n"/>
    </row>
    <row r="6" ht="22" customHeight="1">
      <c r="A6" s="12" t="n"/>
      <c r="B6" s="13" t="inlineStr">
        <is>
          <t>Main Contractor</t>
        </is>
      </c>
      <c r="C6" s="14" t="inlineStr">
        <is>
          <t>ARCO GROUP</t>
        </is>
      </c>
      <c r="F6" s="15" t="n"/>
    </row>
    <row r="7" ht="22" customHeight="1">
      <c r="A7" s="16" t="n"/>
      <c r="B7" s="17" t="inlineStr">
        <is>
          <t>Design Consultant</t>
        </is>
      </c>
      <c r="C7" s="18" t="inlineStr">
        <is>
          <t>HOPKINS ARCHITECTS</t>
        </is>
      </c>
      <c r="F7" s="19" t="n"/>
    </row>
    <row r="8" ht="22" customHeight="1">
      <c r="A8" s="12" t="n"/>
      <c r="B8" s="13" t="inlineStr">
        <is>
          <t>Supervision</t>
        </is>
      </c>
      <c r="C8" s="14" t="inlineStr">
        <is>
          <t>DEWAN ARCHITECTS + ENGINEERS</t>
        </is>
      </c>
      <c r="F8" s="15" t="n"/>
    </row>
    <row r="9" ht="22" customHeight="1">
      <c r="A9" s="16" t="n"/>
      <c r="B9" s="17" t="inlineStr">
        <is>
          <t>Kitchen Type</t>
        </is>
      </c>
      <c r="C9" s="18" t="inlineStr">
        <is>
          <t>C01</t>
        </is>
      </c>
      <c r="F9" s="19" t="n"/>
    </row>
    <row r="10" ht="22" customHeight="1">
      <c r="A10" s="12" t="n"/>
      <c r="B10" s="13" t="inlineStr">
        <is>
          <t>Total Units</t>
        </is>
      </c>
      <c r="C10" s="14" t="n">
        <v>58</v>
      </c>
      <c r="F10" s="15" t="n"/>
    </row>
    <row r="11" ht="22" customHeight="1">
      <c r="A11" s="16" t="n"/>
      <c r="B11" s="17" t="inlineStr">
        <is>
          <t>Date</t>
        </is>
      </c>
      <c r="C11" s="18" t="inlineStr">
        <is>
          <t>2026-03-21</t>
        </is>
      </c>
      <c r="F11" s="19" t="n"/>
    </row>
    <row r="12" ht="22" customHeight="1">
      <c r="A12" s="12" t="n"/>
      <c r="B12" s="13" t="inlineStr">
        <is>
          <t>Revision</t>
        </is>
      </c>
      <c r="C12" s="14" t="inlineStr">
        <is>
          <t>Rev 1 – First Issue</t>
        </is>
      </c>
      <c r="F12" s="15" t="n"/>
    </row>
    <row r="13" ht="22" customHeight="1">
      <c r="A13" s="16" t="n"/>
      <c r="B13" s="17" t="inlineStr">
        <is>
          <t>Currency / VAT</t>
        </is>
      </c>
      <c r="C13" s="18" t="inlineStr">
        <is>
          <t>AED  (VAT 5%)</t>
        </is>
      </c>
      <c r="F13" s="19" t="n"/>
    </row>
    <row r="14" ht="8" customHeight="1"/>
    <row r="15" ht="26" customHeight="1">
      <c r="A15" s="8" t="n"/>
      <c r="B15" s="9" t="inlineStr">
        <is>
          <t>DRAWING REFERENCES</t>
        </is>
      </c>
      <c r="C15" s="10" t="n"/>
      <c r="D15" s="10" t="n"/>
      <c r="E15" s="10" t="n"/>
      <c r="F15" s="11" t="n"/>
    </row>
    <row r="16" ht="22" customHeight="1">
      <c r="A16" s="12" t="n"/>
      <c r="B16" s="13" t="inlineStr">
        <is>
          <t>Ref 01</t>
        </is>
      </c>
      <c r="C16" s="14" t="inlineStr">
        <is>
          <t>C5128-SDW-2TR5600-FO-6000001</t>
        </is>
      </c>
      <c r="F16" s="15" t="n"/>
    </row>
    <row r="17" ht="22" customHeight="1">
      <c r="A17" s="16" t="n"/>
      <c r="B17" s="17" t="inlineStr">
        <is>
          <t>Ref 02</t>
        </is>
      </c>
      <c r="C17" s="18" t="inlineStr">
        <is>
          <t>C5128-SDW-2TR5600-FO-6000003</t>
        </is>
      </c>
      <c r="F17" s="19" t="n"/>
    </row>
    <row r="18" ht="22" customHeight="1">
      <c r="A18" s="12" t="n"/>
      <c r="B18" s="13" t="inlineStr">
        <is>
          <t>Ref 03</t>
        </is>
      </c>
      <c r="C18" s="14" t="inlineStr">
        <is>
          <t>C5128-SDW-2TR5600-FO-6000004</t>
        </is>
      </c>
      <c r="F18" s="15" t="n"/>
    </row>
    <row r="19" ht="22" customHeight="1">
      <c r="A19" s="16" t="n"/>
      <c r="B19" s="17" t="inlineStr">
        <is>
          <t>Ref 04</t>
        </is>
      </c>
      <c r="C19" s="18" t="inlineStr">
        <is>
          <t>C5128-SDW-2TR5600-FO-6000093</t>
        </is>
      </c>
      <c r="F19" s="19" t="n"/>
    </row>
    <row r="20" ht="8" customHeight="1"/>
    <row r="21" ht="26" customHeight="1">
      <c r="A21" s="8" t="n"/>
      <c r="B21" s="9" t="inlineStr">
        <is>
          <t>SECTION SUMMARY</t>
        </is>
      </c>
      <c r="C21" s="10" t="n"/>
      <c r="D21" s="10" t="n"/>
      <c r="E21" s="10" t="n"/>
      <c r="F21" s="11" t="n"/>
    </row>
    <row r="22" ht="26" customHeight="1">
      <c r="A22" s="20" t="n"/>
      <c r="B22" s="21" t="inlineStr">
        <is>
          <t>Section</t>
        </is>
      </c>
      <c r="C22" s="21" t="inlineStr">
        <is>
          <t>Reference</t>
        </is>
      </c>
      <c r="D22" s="21" t="inlineStr">
        <is>
          <t>Description</t>
        </is>
      </c>
      <c r="E22" s="21" t="inlineStr">
        <is>
          <t>Items</t>
        </is>
      </c>
      <c r="F22" s="22" t="n"/>
    </row>
    <row r="23" ht="22" customHeight="1">
      <c r="A23" s="12" t="n"/>
      <c r="B23" s="23" t="inlineStr">
        <is>
          <t>A</t>
        </is>
      </c>
      <c r="C23" s="24" t="inlineStr">
        <is>
          <t>–</t>
        </is>
      </c>
      <c r="D23" s="25" t="inlineStr">
        <is>
          <t>–</t>
        </is>
      </c>
      <c r="E23" s="26" t="n">
        <v>6</v>
      </c>
      <c r="F23" s="15" t="n"/>
    </row>
    <row r="24" ht="22" customHeight="1">
      <c r="A24" s="16" t="n"/>
      <c r="B24" s="27" t="inlineStr">
        <is>
          <t>B</t>
        </is>
      </c>
      <c r="C24" s="28" t="inlineStr">
        <is>
          <t>–</t>
        </is>
      </c>
      <c r="D24" s="29" t="inlineStr">
        <is>
          <t>–</t>
        </is>
      </c>
      <c r="E24" s="30" t="n">
        <v>4</v>
      </c>
      <c r="F24" s="19" t="n"/>
    </row>
    <row r="25" ht="22" customHeight="1">
      <c r="A25" s="12" t="n"/>
      <c r="B25" s="23" t="inlineStr">
        <is>
          <t>C</t>
        </is>
      </c>
      <c r="C25" s="24" t="inlineStr">
        <is>
          <t>–</t>
        </is>
      </c>
      <c r="D25" s="25" t="inlineStr">
        <is>
          <t>–</t>
        </is>
      </c>
      <c r="E25" s="26" t="n">
        <v>5</v>
      </c>
      <c r="F25" s="15" t="n"/>
    </row>
    <row r="26" ht="22" customHeight="1">
      <c r="A26" s="16" t="n"/>
      <c r="B26" s="27" t="inlineStr">
        <is>
          <t>D</t>
        </is>
      </c>
      <c r="C26" s="28" t="inlineStr">
        <is>
          <t>–</t>
        </is>
      </c>
      <c r="D26" s="29" t="inlineStr">
        <is>
          <t>–</t>
        </is>
      </c>
      <c r="E26" s="30" t="n">
        <v>6</v>
      </c>
      <c r="F26" s="19" t="n"/>
    </row>
    <row r="27" ht="22" customHeight="1">
      <c r="A27" s="12" t="n"/>
      <c r="B27" s="23" t="inlineStr">
        <is>
          <t>E</t>
        </is>
      </c>
      <c r="C27" s="24" t="inlineStr">
        <is>
          <t>–</t>
        </is>
      </c>
      <c r="D27" s="25" t="inlineStr">
        <is>
          <t>–</t>
        </is>
      </c>
      <c r="E27" s="26" t="n">
        <v>5</v>
      </c>
      <c r="F27" s="15" t="n"/>
    </row>
    <row r="28" ht="8" customHeight="1"/>
    <row r="29" ht="26" customHeight="1">
      <c r="A29" s="8" t="n"/>
      <c r="B29" s="9" t="inlineStr">
        <is>
          <t>GENERAL ASSUMPTIONS</t>
        </is>
      </c>
      <c r="C29" s="10" t="n"/>
      <c r="D29" s="10" t="n"/>
      <c r="E29" s="10" t="n"/>
      <c r="F29" s="11" t="n"/>
    </row>
    <row r="30" ht="22" customHeight="1">
      <c r="A30" s="12" t="n"/>
      <c r="B30" s="13" t="inlineStr">
        <is>
          <t>Quantity Basis</t>
        </is>
      </c>
      <c r="C30" s="14" t="inlineStr">
        <is>
          <t>All quantities are per kitchen unit. Multiply by 58 for project total.</t>
        </is>
      </c>
      <c r="F30" s="15" t="n"/>
    </row>
    <row r="31" ht="22" customHeight="1">
      <c r="A31" s="16" t="n"/>
      <c r="B31" s="17" t="inlineStr">
        <is>
          <t>Drawing Reference</t>
        </is>
      </c>
      <c r="C31" s="18" t="inlineStr">
        <is>
          <t>Takeoff based on elevations ELV-E, ELV-F, ELV-G1. Cross-reference shop drawings.</t>
        </is>
      </c>
      <c r="F31" s="19" t="n"/>
    </row>
    <row r="32" ht="22" customHeight="1">
      <c r="A32" s="12" t="n"/>
      <c r="B32" s="13" t="inlineStr">
        <is>
          <t>Excluded Items</t>
        </is>
      </c>
      <c r="C32" s="14" t="inlineStr">
        <is>
          <t>Fridge housing unit not included in this BOQ.</t>
        </is>
      </c>
      <c r="F32" s="15" t="n"/>
    </row>
    <row r="33" ht="22" customHeight="1">
      <c r="A33" s="16" t="n"/>
      <c r="B33" s="17" t="inlineStr">
        <is>
          <t>Field Verification</t>
        </is>
      </c>
      <c r="C33" s="18" t="inlineStr">
        <is>
          <t>All dimensions are from drawings. Field measure before fabrication.</t>
        </is>
      </c>
      <c r="F33" s="19" t="n"/>
    </row>
    <row r="34" ht="22" customHeight="1">
      <c r="A34" s="12" t="n"/>
      <c r="B34" s="13" t="inlineStr">
        <is>
          <t>Approval Required</t>
        </is>
      </c>
      <c r="C34" s="14" t="inlineStr">
        <is>
          <t>All finishes and hardware subject to LORJ approval.</t>
        </is>
      </c>
      <c r="F34" s="15" t="n"/>
    </row>
    <row r="35" ht="8" customHeight="1"/>
    <row r="36" ht="26" customHeight="1">
      <c r="A36" s="8" t="n"/>
      <c r="B36" s="9" t="inlineStr">
        <is>
          <t>EXCLUDED FROM SCOPE</t>
        </is>
      </c>
      <c r="C36" s="10" t="n"/>
      <c r="D36" s="10" t="n"/>
      <c r="E36" s="10" t="n"/>
      <c r="F36" s="11" t="n"/>
    </row>
    <row r="37" ht="22" customHeight="1">
      <c r="A37" s="12" t="n"/>
      <c r="B37" s="13" t="inlineStr">
        <is>
          <t>Porcelain countertop</t>
        </is>
      </c>
      <c r="C37" s="14" t="inlineStr">
        <is>
          <t>Finished by others (FIN-102)</t>
        </is>
      </c>
      <c r="F37" s="15" t="n"/>
    </row>
    <row r="38" ht="22" customHeight="1">
      <c r="A38" s="16" t="n"/>
      <c r="B38" s="17" t="inlineStr">
        <is>
          <t>Splashback</t>
        </is>
      </c>
      <c r="C38" s="18" t="inlineStr">
        <is>
          <t>Finished by others</t>
        </is>
      </c>
      <c r="F38" s="19" t="n"/>
    </row>
    <row r="39" ht="22" customHeight="1">
      <c r="A39" s="12" t="n"/>
      <c r="B39" s="13" t="inlineStr">
        <is>
          <t>Plumbing connections</t>
        </is>
      </c>
      <c r="C39" s="14" t="inlineStr">
        <is>
          <t>MEP contractor scope</t>
        </is>
      </c>
      <c r="F39" s="15" t="n"/>
    </row>
    <row r="40" ht="22" customHeight="1">
      <c r="A40" s="16" t="n"/>
      <c r="B40" s="17" t="inlineStr">
        <is>
          <t>LED lighting</t>
        </is>
      </c>
      <c r="C40" s="18" t="inlineStr">
        <is>
          <t>Electrical contractor scope</t>
        </is>
      </c>
      <c r="F40" s="19" t="n"/>
    </row>
    <row r="41" ht="8" customHeight="1"/>
    <row r="42" ht="3" customHeight="1">
      <c r="A42" s="1" t="n"/>
      <c r="B42" s="1" t="n"/>
      <c r="C42" s="1" t="n"/>
      <c r="D42" s="1" t="n"/>
      <c r="E42" s="1" t="n"/>
      <c r="F42" s="1" t="n"/>
    </row>
    <row r="43" ht="20" customHeight="1">
      <c r="A43" s="31" t="inlineStr">
        <is>
          <t>All quantities subject to field verification. Unit rates to be inserted by tendering contractor.</t>
        </is>
      </c>
    </row>
  </sheetData>
  <mergeCells count="29">
    <mergeCell ref="C16:E16"/>
    <mergeCell ref="C31:E31"/>
    <mergeCell ref="C40:E40"/>
    <mergeCell ref="C9:E9"/>
    <mergeCell ref="B15:E15"/>
    <mergeCell ref="B5:E5"/>
    <mergeCell ref="C12:E12"/>
    <mergeCell ref="B36:E36"/>
    <mergeCell ref="C11:E11"/>
    <mergeCell ref="C39:E39"/>
    <mergeCell ref="C8:E8"/>
    <mergeCell ref="C17:E17"/>
    <mergeCell ref="B3:E3"/>
    <mergeCell ref="C7:E7"/>
    <mergeCell ref="C32:E32"/>
    <mergeCell ref="C38:E38"/>
    <mergeCell ref="A43:F43"/>
    <mergeCell ref="C13:E13"/>
    <mergeCell ref="C19:E19"/>
    <mergeCell ref="C37:E37"/>
    <mergeCell ref="B21:E21"/>
    <mergeCell ref="C18:E18"/>
    <mergeCell ref="B2:E2"/>
    <mergeCell ref="C30:E30"/>
    <mergeCell ref="C34:E34"/>
    <mergeCell ref="C6:E6"/>
    <mergeCell ref="C33:E33"/>
    <mergeCell ref="B29:E29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4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24" customWidth="1" min="10" max="10"/>
    <col width="24" customWidth="1" min="11" max="11"/>
    <col width="24" customWidth="1" min="12" max="12"/>
    <col width="24" customWidth="1" min="13" max="13"/>
    <col width="18" customWidth="1" min="14" max="14"/>
    <col width="14" customWidth="1" min="15" max="15"/>
    <col width="20" customWidth="1" min="16" max="16"/>
    <col width="19" customWidth="1" min="17" max="17"/>
    <col width="16" customWidth="1" min="18" max="18"/>
    <col width="16" customWidth="1" min="19" max="19"/>
    <col width="19" customWidth="1" min="20" max="20"/>
    <col width="19" customWidth="1" min="21" max="21"/>
    <col width="8" customWidth="1" min="22" max="22"/>
    <col width="8" customWidth="1" min="23" max="23"/>
    <col width="224" customWidth="1" min="24" max="24"/>
  </cols>
  <sheetData>
    <row r="1" ht="30" customHeight="1">
      <c r="A1" s="32" t="inlineStr">
        <is>
          <t>BILL OF QUANTITIES – KITCHEN FITOUT (TYPE C01)   ·   AL WAHA RESIDENCE 01   ·   EXPO CITY DUBAI   ·   Phase-01 – Mobility District</t>
        </is>
      </c>
    </row>
    <row r="2" ht="24" customHeight="1">
      <c r="A2" s="33" t="n"/>
      <c r="B2" s="33" t="n"/>
      <c r="C2" s="33" t="n"/>
      <c r="D2" s="33" t="n"/>
      <c r="E2" s="33" t="n"/>
      <c r="F2" s="33" t="n"/>
      <c r="G2" s="33" t="n"/>
      <c r="H2" s="34" t="n">
        <v>58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3" t="n"/>
    </row>
    <row r="3" ht="32" customHeight="1">
      <c r="A3" s="35" t="n"/>
      <c r="B3" s="36" t="inlineStr">
        <is>
          <t xml:space="preserve">  A  </t>
        </is>
      </c>
      <c r="C3" s="37" t="inlineStr">
        <is>
          <t>SECTION</t>
        </is>
      </c>
      <c r="D3" s="35" t="n"/>
      <c r="E3" s="35" t="n"/>
      <c r="F3" s="35" t="n"/>
      <c r="G3" s="35" t="n"/>
      <c r="H3" s="35" t="n"/>
      <c r="I3" s="35" t="n"/>
      <c r="J3" s="35" t="n"/>
      <c r="K3" s="35" t="n"/>
      <c r="L3" s="35" t="n"/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8" t="inlineStr">
        <is>
          <t>Unit overall dimensions: L 2.07m × W 0.38m × H 1.00m</t>
        </is>
      </c>
    </row>
    <row r="4" ht="60" customHeight="1">
      <c r="A4" s="39" t="inlineStr"/>
      <c r="B4" s="39" t="inlineStr">
        <is>
          <t>S.No</t>
        </is>
      </c>
      <c r="C4" s="39" t="inlineStr">
        <is>
          <t>Description</t>
        </is>
      </c>
      <c r="D4" s="39" t="inlineStr">
        <is>
          <t>Unit</t>
        </is>
      </c>
      <c r="E4" s="39" t="inlineStr">
        <is>
          <t>Times</t>
        </is>
      </c>
      <c r="F4" s="39" t="inlineStr">
        <is>
          <t>L</t>
        </is>
      </c>
      <c r="G4" s="39" t="inlineStr">
        <is>
          <t>W</t>
        </is>
      </c>
      <c r="H4" s="39" t="inlineStr">
        <is>
          <t>H</t>
        </is>
      </c>
      <c r="I4" s="39" t="inlineStr">
        <is>
          <t>Total QTY</t>
        </is>
      </c>
      <c r="J4" s="39" t="inlineStr">
        <is>
          <t>6mm Both-Face
Melamine MR MDF Sheet</t>
        </is>
      </c>
      <c r="K4" s="39" t="inlineStr">
        <is>
          <t>9mm Both-Face
Melamine MR MDF Sheet</t>
        </is>
      </c>
      <c r="L4" s="39" t="inlineStr">
        <is>
          <t>12mm Both-Face
Melamine MR MDF Sheet</t>
        </is>
      </c>
      <c r="M4" s="39" t="inlineStr">
        <is>
          <t>18mm Both-Face
Melamine MR MDF Sheet</t>
        </is>
      </c>
      <c r="N4" s="39" t="inlineStr">
        <is>
          <t>18mm Plain
MR MDF Sheet</t>
        </is>
      </c>
      <c r="O4" s="39" t="inlineStr">
        <is>
          <t>Plywood</t>
        </is>
      </c>
      <c r="P4" s="39" t="inlineStr">
        <is>
          <t>25mm Plain MR MDF</t>
        </is>
      </c>
      <c r="Q4" s="39" t="inlineStr">
        <is>
          <t>PL-01
Laminate (0.8mm)</t>
        </is>
      </c>
      <c r="R4" s="39" t="inlineStr">
        <is>
          <t>Full Overlay
Hinges</t>
        </is>
      </c>
      <c r="S4" s="39" t="inlineStr">
        <is>
          <t>Drawer Runner
(0.5m)</t>
        </is>
      </c>
      <c r="T4" s="39" t="inlineStr">
        <is>
          <t>PVC Lipping 25mm</t>
        </is>
      </c>
      <c r="U4" s="39" t="inlineStr">
        <is>
          <t>PVC Lipping 18mm</t>
        </is>
      </c>
      <c r="V4" s="40" t="n"/>
      <c r="W4" s="40" t="n"/>
      <c r="X4" s="39" t="inlineStr">
        <is>
          <t>Remarks</t>
        </is>
      </c>
    </row>
    <row r="5" ht="28" customHeight="1">
      <c r="A5" s="41" t="n"/>
      <c r="B5" s="41" t="n"/>
      <c r="C5" s="42" t="inlineStr">
        <is>
          <t>Carcass-A</t>
        </is>
      </c>
      <c r="D5" s="41" t="n"/>
      <c r="E5" s="41" t="n"/>
      <c r="F5" s="43" t="n">
        <v>2.07</v>
      </c>
      <c r="G5" s="43" t="n">
        <v>0.38</v>
      </c>
      <c r="H5" s="43" t="n">
        <v>1</v>
      </c>
      <c r="I5" s="41" t="n"/>
      <c r="J5" s="41" t="n"/>
      <c r="K5" s="41" t="n"/>
      <c r="L5" s="41" t="n"/>
      <c r="M5" s="41" t="n"/>
      <c r="N5" s="41" t="n"/>
      <c r="O5" s="41" t="n"/>
      <c r="P5" s="41" t="n"/>
      <c r="Q5" s="41" t="n"/>
      <c r="R5" s="41" t="n"/>
      <c r="S5" s="41" t="n"/>
      <c r="T5" s="41" t="n"/>
      <c r="U5" s="41" t="n"/>
      <c r="V5" s="41" t="n"/>
      <c r="W5" s="41" t="n"/>
      <c r="X5" s="41" t="n"/>
    </row>
    <row r="6" ht="18" customHeight="1">
      <c r="B6" s="44" t="inlineStr">
        <is>
          <t>A1</t>
        </is>
      </c>
      <c r="C6" s="45" t="inlineStr">
        <is>
          <t>Back panel</t>
        </is>
      </c>
      <c r="D6" s="46" t="inlineStr">
        <is>
          <t>M²</t>
        </is>
      </c>
      <c r="E6" s="47" t="inlineStr"/>
      <c r="F6" s="48">
        <f>$F$5</f>
        <v/>
      </c>
      <c r="G6" s="49" t="inlineStr"/>
      <c r="H6" s="48">
        <f>$H$5</f>
        <v/>
      </c>
      <c r="I6" s="50">
        <f>IFERROR(F6*H6*IF(E6&lt;&gt;"",E6,1),"")</f>
        <v/>
      </c>
      <c r="J6" s="47" t="n"/>
      <c r="K6" s="51">
        <f>I6</f>
        <v/>
      </c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52" t="n"/>
      <c r="W6" s="52" t="n"/>
      <c r="X6" s="53" t="inlineStr"/>
    </row>
    <row r="7" ht="18" customHeight="1">
      <c r="B7" s="54" t="inlineStr">
        <is>
          <t>A2</t>
        </is>
      </c>
      <c r="C7" s="55" t="inlineStr">
        <is>
          <t>Bottom panel</t>
        </is>
      </c>
      <c r="D7" s="56" t="inlineStr">
        <is>
          <t>M²</t>
        </is>
      </c>
      <c r="E7" s="57" t="inlineStr"/>
      <c r="F7" s="58">
        <f>$F$5</f>
        <v/>
      </c>
      <c r="G7" s="58">
        <f>$G$5</f>
        <v/>
      </c>
      <c r="H7" s="59" t="inlineStr"/>
      <c r="I7" s="60">
        <f>IFERROR(F7*G7*IF(E7&lt;&gt;"",E7,1),"")</f>
        <v/>
      </c>
      <c r="J7" s="57" t="n"/>
      <c r="K7" s="57" t="n"/>
      <c r="L7" s="57" t="n"/>
      <c r="M7" s="61">
        <f>I7</f>
        <v/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62" t="n"/>
      <c r="W7" s="62" t="n"/>
      <c r="X7" s="63" t="inlineStr"/>
    </row>
    <row r="8" ht="18" customHeight="1">
      <c r="B8" s="44" t="inlineStr">
        <is>
          <t>A3</t>
        </is>
      </c>
      <c r="C8" s="45" t="inlineStr">
        <is>
          <t>Top panel</t>
        </is>
      </c>
      <c r="D8" s="46" t="inlineStr">
        <is>
          <t>M²</t>
        </is>
      </c>
      <c r="E8" s="47" t="inlineStr"/>
      <c r="F8" s="48">
        <f>$F$5</f>
        <v/>
      </c>
      <c r="G8" s="48">
        <f>$G$5</f>
        <v/>
      </c>
      <c r="H8" s="49" t="inlineStr"/>
      <c r="I8" s="50">
        <f>IFERROR(F8*G8*IF(E8&lt;&gt;"",E8,1),"")</f>
        <v/>
      </c>
      <c r="J8" s="47" t="n"/>
      <c r="K8" s="47" t="n"/>
      <c r="L8" s="47" t="n"/>
      <c r="M8" s="51">
        <f>I8</f>
        <v/>
      </c>
      <c r="N8" s="47" t="n"/>
      <c r="O8" s="47" t="n"/>
      <c r="P8" s="47" t="n"/>
      <c r="Q8" s="47" t="n"/>
      <c r="R8" s="47" t="n"/>
      <c r="S8" s="47" t="n"/>
      <c r="T8" s="47" t="n"/>
      <c r="U8" s="47" t="n"/>
      <c r="V8" s="52" t="n"/>
      <c r="W8" s="52" t="n"/>
      <c r="X8" s="53" t="inlineStr"/>
    </row>
    <row r="9" ht="18" customHeight="1">
      <c r="B9" s="54" t="inlineStr">
        <is>
          <t>A4</t>
        </is>
      </c>
      <c r="C9" s="55" t="inlineStr">
        <is>
          <t>Side panels</t>
        </is>
      </c>
      <c r="D9" s="56" t="inlineStr">
        <is>
          <t>M²</t>
        </is>
      </c>
      <c r="E9" s="64" t="n">
        <v>2</v>
      </c>
      <c r="F9" s="59" t="inlineStr"/>
      <c r="G9" s="58">
        <f>$G$5</f>
        <v/>
      </c>
      <c r="H9" s="58">
        <f>$H$5</f>
        <v/>
      </c>
      <c r="I9" s="60">
        <f>IFERROR(G9*H9*IF(E9&lt;&gt;"",E9,1),"")</f>
        <v/>
      </c>
      <c r="J9" s="57" t="n"/>
      <c r="K9" s="57" t="n"/>
      <c r="L9" s="57" t="n"/>
      <c r="M9" s="61">
        <f>I9</f>
        <v/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62" t="n"/>
      <c r="W9" s="62" t="n"/>
      <c r="X9" s="63" t="inlineStr"/>
    </row>
    <row r="10" ht="18" customHeight="1">
      <c r="B10" s="44" t="inlineStr">
        <is>
          <t>A5</t>
        </is>
      </c>
      <c r="C10" s="45" t="inlineStr">
        <is>
          <t>Internal dividers</t>
        </is>
      </c>
      <c r="D10" s="46" t="inlineStr">
        <is>
          <t>M²</t>
        </is>
      </c>
      <c r="E10" s="65" t="n">
        <v>8</v>
      </c>
      <c r="F10" s="49" t="inlineStr"/>
      <c r="G10" s="48">
        <f>$G$5</f>
        <v/>
      </c>
      <c r="H10" s="48">
        <f>$H$5</f>
        <v/>
      </c>
      <c r="I10" s="50">
        <f>IFERROR(G10*H10*IF(E10&lt;&gt;"",E10,1),"")</f>
        <v/>
      </c>
      <c r="J10" s="47" t="n"/>
      <c r="K10" s="47" t="n"/>
      <c r="L10" s="47" t="n"/>
      <c r="M10" s="51">
        <f>I10</f>
        <v/>
      </c>
      <c r="N10" s="47" t="n"/>
      <c r="O10" s="47" t="n"/>
      <c r="P10" s="47" t="n"/>
      <c r="Q10" s="47" t="n"/>
      <c r="R10" s="47" t="n"/>
      <c r="S10" s="47" t="n"/>
      <c r="T10" s="47" t="n"/>
      <c r="U10" s="47" t="n"/>
      <c r="V10" s="52" t="n"/>
      <c r="W10" s="52" t="n"/>
      <c r="X10" s="53" t="inlineStr"/>
    </row>
    <row r="11" ht="18" customHeight="1">
      <c r="B11" s="54" t="inlineStr">
        <is>
          <t>A6</t>
        </is>
      </c>
      <c r="C11" s="55" t="inlineStr">
        <is>
          <t>Fixed shelves</t>
        </is>
      </c>
      <c r="D11" s="56" t="inlineStr">
        <is>
          <t>M²</t>
        </is>
      </c>
      <c r="E11" s="64" t="n">
        <v>9</v>
      </c>
      <c r="F11" s="66" t="n">
        <v>0.6</v>
      </c>
      <c r="G11" s="58">
        <f>$G$5</f>
        <v/>
      </c>
      <c r="H11" s="59" t="inlineStr"/>
      <c r="I11" s="60">
        <f>IFERROR(F11*G11*IF(E11&lt;&gt;"",E11,1),"")</f>
        <v/>
      </c>
      <c r="J11" s="57" t="n"/>
      <c r="K11" s="57" t="n"/>
      <c r="L11" s="57" t="n"/>
      <c r="M11" s="61">
        <f>I11</f>
        <v/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62" t="n"/>
      <c r="W11" s="62" t="n"/>
      <c r="X11" s="63" t="inlineStr"/>
    </row>
    <row r="12" ht="18" customHeight="1">
      <c r="B12" s="44" t="inlineStr">
        <is>
          <t>A7</t>
        </is>
      </c>
      <c r="C12" s="45" t="inlineStr">
        <is>
          <t>PVC lipping to all exposed edges</t>
        </is>
      </c>
      <c r="D12" s="46" t="inlineStr">
        <is>
          <t>LM</t>
        </is>
      </c>
      <c r="E12" s="47" t="inlineStr"/>
      <c r="F12" s="49" t="inlineStr"/>
      <c r="G12" s="49" t="inlineStr"/>
      <c r="H12" s="49" t="inlineStr"/>
      <c r="I12" s="50">
        <f>IF(E12&lt;&gt;"",E12,0)</f>
        <v/>
      </c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52" t="n"/>
      <c r="W12" s="52" t="n"/>
      <c r="X12" s="53" t="inlineStr">
        <is>
          <t>Total lipping per unit: 14.14 lm</t>
        </is>
      </c>
    </row>
    <row r="13" ht="28" customHeight="1">
      <c r="A13" s="41" t="n"/>
      <c r="B13" s="41" t="n"/>
      <c r="C13" s="42" t="inlineStr">
        <is>
          <t>Shutter-A</t>
        </is>
      </c>
      <c r="D13" s="41" t="n"/>
      <c r="E13" s="41" t="n"/>
      <c r="F13" s="43" t="n">
        <v>2.07</v>
      </c>
      <c r="G13" s="67" t="inlineStr">
        <is>
          <t>—</t>
        </is>
      </c>
      <c r="H13" s="43" t="n">
        <v>1</v>
      </c>
      <c r="I13" s="41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</row>
    <row r="14" ht="18" customHeight="1">
      <c r="B14" s="54" t="inlineStr">
        <is>
          <t>A8</t>
        </is>
      </c>
      <c r="C14" s="55" t="inlineStr">
        <is>
          <t>Plain shutter panel</t>
        </is>
      </c>
      <c r="D14" s="56" t="inlineStr">
        <is>
          <t>M²</t>
        </is>
      </c>
      <c r="E14" s="57" t="inlineStr"/>
      <c r="F14" s="58">
        <f>$F$13</f>
        <v/>
      </c>
      <c r="G14" s="59" t="inlineStr"/>
      <c r="H14" s="58">
        <f>$H$13</f>
        <v/>
      </c>
      <c r="I14" s="60">
        <f>IFERROR(F14*H14*IF(E14&lt;&gt;"",E14,1),"")</f>
        <v/>
      </c>
      <c r="J14" s="57" t="n"/>
      <c r="K14" s="57" t="n"/>
      <c r="L14" s="57" t="n"/>
      <c r="M14" s="57" t="n"/>
      <c r="N14" s="61">
        <f>I14</f>
        <v/>
      </c>
      <c r="O14" s="57" t="n"/>
      <c r="P14" s="57" t="n"/>
      <c r="Q14" s="57" t="n"/>
      <c r="R14" s="57" t="n"/>
      <c r="S14" s="57" t="n"/>
      <c r="T14" s="57" t="n"/>
      <c r="U14" s="57" t="n"/>
      <c r="V14" s="62" t="n"/>
      <c r="W14" s="62" t="n"/>
      <c r="X14" s="63" t="inlineStr">
        <is>
          <t>5 shutter doors; laminate PL-01 both faces = 4.14 m²</t>
        </is>
      </c>
    </row>
    <row r="15" ht="18" customHeight="1">
      <c r="B15" s="44" t="inlineStr">
        <is>
          <t>A9</t>
        </is>
      </c>
      <c r="C15" s="45" t="inlineStr">
        <is>
          <t>PVC lipping to shutter edges</t>
        </is>
      </c>
      <c r="D15" s="46" t="inlineStr">
        <is>
          <t>LM</t>
        </is>
      </c>
      <c r="E15" s="47" t="inlineStr"/>
      <c r="F15" s="49" t="inlineStr"/>
      <c r="G15" s="49" t="inlineStr"/>
      <c r="H15" s="49" t="inlineStr"/>
      <c r="I15" s="50">
        <f>IF(E15&lt;&gt;"",E15,0)</f>
        <v/>
      </c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52" t="n"/>
      <c r="W15" s="52" t="n"/>
      <c r="X15" s="53" t="inlineStr">
        <is>
          <t>Total lipping per unit: 14.14 lm</t>
        </is>
      </c>
    </row>
    <row r="16" ht="28" customHeight="1">
      <c r="A16" s="41" t="n"/>
      <c r="B16" s="41" t="n"/>
      <c r="C16" s="42" t="inlineStr">
        <is>
          <t>Carcass-B</t>
        </is>
      </c>
      <c r="D16" s="41" t="n"/>
      <c r="E16" s="41" t="n"/>
      <c r="F16" s="43" t="n">
        <v>0.44</v>
      </c>
      <c r="G16" s="43" t="n">
        <v>0.38</v>
      </c>
      <c r="H16" s="43" t="n">
        <v>1.45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</row>
    <row r="17" ht="18" customHeight="1">
      <c r="B17" s="54" t="inlineStr">
        <is>
          <t>A10</t>
        </is>
      </c>
      <c r="C17" s="55" t="inlineStr">
        <is>
          <t>Back panel</t>
        </is>
      </c>
      <c r="D17" s="56" t="inlineStr">
        <is>
          <t>M²</t>
        </is>
      </c>
      <c r="E17" s="57" t="inlineStr"/>
      <c r="F17" s="58">
        <f>$F$16</f>
        <v/>
      </c>
      <c r="G17" s="59" t="inlineStr"/>
      <c r="H17" s="58">
        <f>$H$16</f>
        <v/>
      </c>
      <c r="I17" s="60">
        <f>IFERROR(F17*H17*IF(E17&lt;&gt;"",E17,1),"")</f>
        <v/>
      </c>
      <c r="J17" s="57" t="n"/>
      <c r="K17" s="61">
        <f>I17</f>
        <v/>
      </c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62" t="n"/>
      <c r="W17" s="62" t="n"/>
      <c r="X17" s="63" t="inlineStr"/>
    </row>
    <row r="18" ht="18" customHeight="1">
      <c r="B18" s="44" t="inlineStr">
        <is>
          <t>A11</t>
        </is>
      </c>
      <c r="C18" s="45" t="inlineStr">
        <is>
          <t>Bottom panel</t>
        </is>
      </c>
      <c r="D18" s="46" t="inlineStr">
        <is>
          <t>M²</t>
        </is>
      </c>
      <c r="E18" s="47" t="inlineStr"/>
      <c r="F18" s="48">
        <f>$F$16</f>
        <v/>
      </c>
      <c r="G18" s="48">
        <f>$G$16</f>
        <v/>
      </c>
      <c r="H18" s="49" t="inlineStr"/>
      <c r="I18" s="50">
        <f>IFERROR(F18*G18*IF(E18&lt;&gt;"",E18,1),"")</f>
        <v/>
      </c>
      <c r="J18" s="47" t="n"/>
      <c r="K18" s="47" t="n"/>
      <c r="L18" s="47" t="n"/>
      <c r="M18" s="51">
        <f>I18</f>
        <v/>
      </c>
      <c r="N18" s="47" t="n"/>
      <c r="O18" s="47" t="n"/>
      <c r="P18" s="47" t="n"/>
      <c r="Q18" s="47" t="n"/>
      <c r="R18" s="47" t="n"/>
      <c r="S18" s="47" t="n"/>
      <c r="T18" s="47" t="n"/>
      <c r="U18" s="47" t="n"/>
      <c r="V18" s="52" t="n"/>
      <c r="W18" s="52" t="n"/>
      <c r="X18" s="53" t="inlineStr"/>
    </row>
    <row r="19" ht="18" customHeight="1">
      <c r="B19" s="54" t="inlineStr">
        <is>
          <t>A12</t>
        </is>
      </c>
      <c r="C19" s="55" t="inlineStr">
        <is>
          <t>Top panel</t>
        </is>
      </c>
      <c r="D19" s="56" t="inlineStr">
        <is>
          <t>M²</t>
        </is>
      </c>
      <c r="E19" s="57" t="inlineStr"/>
      <c r="F19" s="58">
        <f>$F$16</f>
        <v/>
      </c>
      <c r="G19" s="58">
        <f>$G$16</f>
        <v/>
      </c>
      <c r="H19" s="59" t="inlineStr"/>
      <c r="I19" s="60">
        <f>IFERROR(F19*G19*IF(E19&lt;&gt;"",E19,1),"")</f>
        <v/>
      </c>
      <c r="J19" s="57" t="n"/>
      <c r="K19" s="57" t="n"/>
      <c r="L19" s="57" t="n"/>
      <c r="M19" s="61">
        <f>I19</f>
        <v/>
      </c>
      <c r="N19" s="57" t="n"/>
      <c r="O19" s="57" t="n"/>
      <c r="P19" s="57" t="n"/>
      <c r="Q19" s="57" t="n"/>
      <c r="R19" s="57" t="n"/>
      <c r="S19" s="57" t="n"/>
      <c r="T19" s="57" t="n"/>
      <c r="U19" s="57" t="n"/>
      <c r="V19" s="62" t="n"/>
      <c r="W19" s="62" t="n"/>
      <c r="X19" s="63" t="inlineStr"/>
    </row>
    <row r="20" ht="18" customHeight="1">
      <c r="B20" s="44" t="inlineStr">
        <is>
          <t>A13</t>
        </is>
      </c>
      <c r="C20" s="45" t="inlineStr">
        <is>
          <t>Side panels</t>
        </is>
      </c>
      <c r="D20" s="46" t="inlineStr">
        <is>
          <t>M²</t>
        </is>
      </c>
      <c r="E20" s="65" t="n">
        <v>2</v>
      </c>
      <c r="F20" s="49" t="inlineStr"/>
      <c r="G20" s="48">
        <f>$G$16</f>
        <v/>
      </c>
      <c r="H20" s="48">
        <f>$H$16</f>
        <v/>
      </c>
      <c r="I20" s="50">
        <f>IFERROR(G20*H20*IF(E20&lt;&gt;"",E20,1),"")</f>
        <v/>
      </c>
      <c r="J20" s="47" t="n"/>
      <c r="K20" s="47" t="n"/>
      <c r="L20" s="47" t="n"/>
      <c r="M20" s="51">
        <f>I20</f>
        <v/>
      </c>
      <c r="N20" s="47" t="n"/>
      <c r="O20" s="47" t="n"/>
      <c r="P20" s="47" t="n"/>
      <c r="Q20" s="47" t="n"/>
      <c r="R20" s="47" t="n"/>
      <c r="S20" s="47" t="n"/>
      <c r="T20" s="47" t="n"/>
      <c r="U20" s="47" t="n"/>
      <c r="V20" s="52" t="n"/>
      <c r="W20" s="52" t="n"/>
      <c r="X20" s="53" t="inlineStr"/>
    </row>
    <row r="21" ht="18" customHeight="1">
      <c r="B21" s="54" t="inlineStr">
        <is>
          <t>A14</t>
        </is>
      </c>
      <c r="C21" s="55" t="inlineStr">
        <is>
          <t>Internal dividers</t>
        </is>
      </c>
      <c r="D21" s="56" t="inlineStr">
        <is>
          <t>M²</t>
        </is>
      </c>
      <c r="E21" s="64" t="n">
        <v>8</v>
      </c>
      <c r="F21" s="59" t="inlineStr"/>
      <c r="G21" s="58">
        <f>$G$16</f>
        <v/>
      </c>
      <c r="H21" s="58">
        <f>$H$16</f>
        <v/>
      </c>
      <c r="I21" s="60">
        <f>IFERROR(G21*H21*IF(E21&lt;&gt;"",E21,1),"")</f>
        <v/>
      </c>
      <c r="J21" s="57" t="n"/>
      <c r="K21" s="57" t="n"/>
      <c r="L21" s="57" t="n"/>
      <c r="M21" s="61">
        <f>I21</f>
        <v/>
      </c>
      <c r="N21" s="57" t="n"/>
      <c r="O21" s="57" t="n"/>
      <c r="P21" s="57" t="n"/>
      <c r="Q21" s="57" t="n"/>
      <c r="R21" s="57" t="n"/>
      <c r="S21" s="57" t="n"/>
      <c r="T21" s="57" t="n"/>
      <c r="U21" s="57" t="n"/>
      <c r="V21" s="62" t="n"/>
      <c r="W21" s="62" t="n"/>
      <c r="X21" s="63" t="inlineStr"/>
    </row>
    <row r="22" ht="18" customHeight="1">
      <c r="B22" s="44" t="inlineStr">
        <is>
          <t>A15</t>
        </is>
      </c>
      <c r="C22" s="45" t="inlineStr">
        <is>
          <t>Fixed shelves</t>
        </is>
      </c>
      <c r="D22" s="46" t="inlineStr">
        <is>
          <t>M²</t>
        </is>
      </c>
      <c r="E22" s="65" t="n">
        <v>3</v>
      </c>
      <c r="F22" s="48">
        <f>$F$16</f>
        <v/>
      </c>
      <c r="G22" s="48">
        <f>$G$16</f>
        <v/>
      </c>
      <c r="H22" s="49" t="inlineStr"/>
      <c r="I22" s="50">
        <f>IFERROR(F22*G22*IF(E22&lt;&gt;"",E22,1),"")</f>
        <v/>
      </c>
      <c r="J22" s="47" t="n"/>
      <c r="K22" s="47" t="n"/>
      <c r="L22" s="47" t="n"/>
      <c r="M22" s="51">
        <f>I22</f>
        <v/>
      </c>
      <c r="N22" s="47" t="n"/>
      <c r="O22" s="47" t="n"/>
      <c r="P22" s="47" t="n"/>
      <c r="Q22" s="47" t="n"/>
      <c r="R22" s="47" t="n"/>
      <c r="S22" s="47" t="n"/>
      <c r="T22" s="47" t="n"/>
      <c r="U22" s="47" t="n"/>
      <c r="V22" s="52" t="n"/>
      <c r="W22" s="52" t="n"/>
      <c r="X22" s="53" t="inlineStr"/>
    </row>
    <row r="23" ht="18" customHeight="1">
      <c r="B23" s="54" t="inlineStr">
        <is>
          <t>A16</t>
        </is>
      </c>
      <c r="C23" s="55" t="inlineStr">
        <is>
          <t>PVC lipping to all exposed edges</t>
        </is>
      </c>
      <c r="D23" s="56" t="inlineStr">
        <is>
          <t>LM</t>
        </is>
      </c>
      <c r="E23" s="57" t="inlineStr"/>
      <c r="F23" s="59" t="inlineStr"/>
      <c r="G23" s="59" t="inlineStr"/>
      <c r="H23" s="59" t="inlineStr"/>
      <c r="I23" s="60">
        <f>IF(E23&lt;&gt;"",E23,0)</f>
        <v/>
      </c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62" t="n"/>
      <c r="W23" s="62" t="n"/>
      <c r="X23" s="63" t="inlineStr">
        <is>
          <t>Total lipping per unit: 24.72 lm</t>
        </is>
      </c>
    </row>
    <row r="24" ht="28" customHeight="1">
      <c r="A24" s="41" t="n"/>
      <c r="B24" s="41" t="n"/>
      <c r="C24" s="42" t="inlineStr">
        <is>
          <t>Shutter-B</t>
        </is>
      </c>
      <c r="D24" s="41" t="n"/>
      <c r="E24" s="41" t="n"/>
      <c r="F24" s="43" t="n">
        <v>0.44</v>
      </c>
      <c r="G24" s="67" t="inlineStr">
        <is>
          <t>—</t>
        </is>
      </c>
      <c r="H24" s="43" t="n">
        <v>1.45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</row>
    <row r="25" ht="18" customHeight="1">
      <c r="B25" s="44" t="inlineStr">
        <is>
          <t>A17</t>
        </is>
      </c>
      <c r="C25" s="45" t="inlineStr">
        <is>
          <t>Plain shutter panel</t>
        </is>
      </c>
      <c r="D25" s="46" t="inlineStr">
        <is>
          <t>M²</t>
        </is>
      </c>
      <c r="E25" s="47" t="inlineStr"/>
      <c r="F25" s="48">
        <f>$F$24</f>
        <v/>
      </c>
      <c r="G25" s="49" t="inlineStr"/>
      <c r="H25" s="48">
        <f>$H$24</f>
        <v/>
      </c>
      <c r="I25" s="50">
        <f>IFERROR(F25*H25*IF(E25&lt;&gt;"",E25,1),"")</f>
        <v/>
      </c>
      <c r="J25" s="47" t="n"/>
      <c r="K25" s="47" t="n"/>
      <c r="L25" s="47" t="n"/>
      <c r="M25" s="47" t="n"/>
      <c r="N25" s="51">
        <f>I25</f>
        <v/>
      </c>
      <c r="O25" s="47" t="n"/>
      <c r="P25" s="47" t="n"/>
      <c r="Q25" s="47" t="n"/>
      <c r="R25" s="47" t="n"/>
      <c r="S25" s="47" t="n"/>
      <c r="T25" s="47" t="n"/>
      <c r="U25" s="47" t="n"/>
      <c r="V25" s="52" t="n"/>
      <c r="W25" s="52" t="n"/>
      <c r="X25" s="53" t="inlineStr">
        <is>
          <t>1 shutter door; laminate PL-01 both faces = 1.276 m²</t>
        </is>
      </c>
    </row>
    <row r="26" ht="18" customHeight="1">
      <c r="B26" s="54" t="inlineStr">
        <is>
          <t>A18</t>
        </is>
      </c>
      <c r="C26" s="55" t="inlineStr">
        <is>
          <t>PVC lipping to shutter edges</t>
        </is>
      </c>
      <c r="D26" s="56" t="inlineStr">
        <is>
          <t>LM</t>
        </is>
      </c>
      <c r="E26" s="57" t="inlineStr"/>
      <c r="F26" s="59" t="inlineStr"/>
      <c r="G26" s="59" t="inlineStr"/>
      <c r="H26" s="59" t="inlineStr"/>
      <c r="I26" s="60">
        <f>IF(E26&lt;&gt;"",E26,0)</f>
        <v/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62" t="n"/>
      <c r="W26" s="62" t="n"/>
      <c r="X26" s="63" t="inlineStr">
        <is>
          <t>Total per unit: 3.78 lm</t>
        </is>
      </c>
    </row>
    <row r="27" ht="28" customHeight="1">
      <c r="A27" s="41" t="n"/>
      <c r="B27" s="41" t="n"/>
      <c r="C27" s="42" t="inlineStr">
        <is>
          <t>Side Panel</t>
        </is>
      </c>
      <c r="D27" s="41" t="n"/>
      <c r="E27" s="41" t="n"/>
      <c r="F27" s="43" t="n">
        <v>0.65</v>
      </c>
      <c r="G27" s="67" t="inlineStr">
        <is>
          <t>—</t>
        </is>
      </c>
      <c r="H27" s="43" t="n">
        <v>2.7</v>
      </c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</row>
    <row r="28" ht="18" customHeight="1">
      <c r="B28" s="44" t="inlineStr">
        <is>
          <t>A19</t>
        </is>
      </c>
      <c r="C28" s="45" t="inlineStr">
        <is>
          <t>Exposed end panel</t>
        </is>
      </c>
      <c r="D28" s="46" t="inlineStr">
        <is>
          <t>M²</t>
        </is>
      </c>
      <c r="E28" s="47" t="inlineStr"/>
      <c r="F28" s="48">
        <f>$F$27</f>
        <v/>
      </c>
      <c r="G28" s="49" t="inlineStr"/>
      <c r="H28" s="48">
        <f>$H$27</f>
        <v/>
      </c>
      <c r="I28" s="50">
        <f>IFERROR(F28*H28*IF(E28&lt;&gt;"",E28,1),"")</f>
        <v/>
      </c>
      <c r="J28" s="47" t="n"/>
      <c r="K28" s="47" t="n"/>
      <c r="L28" s="47" t="n"/>
      <c r="M28" s="47" t="n"/>
      <c r="N28" s="47" t="n"/>
      <c r="O28" s="47" t="n"/>
      <c r="P28" s="51">
        <f>I28</f>
        <v/>
      </c>
      <c r="Q28" s="47" t="n"/>
      <c r="R28" s="47" t="n"/>
      <c r="S28" s="47" t="n"/>
      <c r="T28" s="47" t="n"/>
      <c r="U28" s="47" t="n"/>
      <c r="V28" s="52" t="n"/>
      <c r="W28" s="52" t="n"/>
      <c r="X28" s="53" t="inlineStr">
        <is>
          <t>25mm MDF = 1.755 m²; laminate coverage = 1.855 m²</t>
        </is>
      </c>
    </row>
    <row r="29" ht="18" customHeight="1">
      <c r="B29" s="54" t="inlineStr">
        <is>
          <t>A20</t>
        </is>
      </c>
      <c r="C29" s="55" t="inlineStr">
        <is>
          <t>PVC lipping 25mm exposed edge</t>
        </is>
      </c>
      <c r="D29" s="56" t="inlineStr">
        <is>
          <t>LM</t>
        </is>
      </c>
      <c r="E29" s="57" t="inlineStr"/>
      <c r="F29" s="59" t="inlineStr"/>
      <c r="G29" s="59" t="inlineStr"/>
      <c r="H29" s="59" t="inlineStr"/>
      <c r="I29" s="60">
        <f>IF(E29&lt;&gt;"",E29,0)</f>
        <v/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61">
        <f>I29</f>
        <v/>
      </c>
      <c r="U29" s="57" t="n"/>
      <c r="V29" s="62" t="n"/>
      <c r="W29" s="62" t="n"/>
      <c r="X29" s="63" t="inlineStr">
        <is>
          <t>Total per unit: 3.35 lm</t>
        </is>
      </c>
    </row>
    <row r="30" ht="28" customHeight="1">
      <c r="A30" s="41" t="n"/>
      <c r="B30" s="41" t="n"/>
      <c r="C30" s="42" t="inlineStr">
        <is>
          <t>Hardware</t>
        </is>
      </c>
      <c r="D30" s="41" t="n"/>
      <c r="E30" s="41" t="n"/>
      <c r="F30" s="67" t="inlineStr">
        <is>
          <t>—</t>
        </is>
      </c>
      <c r="G30" s="67" t="inlineStr">
        <is>
          <t>—</t>
        </is>
      </c>
      <c r="H30" s="67" t="inlineStr">
        <is>
          <t>—</t>
        </is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</row>
    <row r="31" ht="18" customHeight="1">
      <c r="B31" s="44" t="inlineStr">
        <is>
          <t>A21</t>
        </is>
      </c>
      <c r="C31" s="45" t="inlineStr">
        <is>
          <t>Full overlay soft-close hinges</t>
        </is>
      </c>
      <c r="D31" s="46" t="inlineStr">
        <is>
          <t>Nr</t>
        </is>
      </c>
      <c r="E31" s="47" t="inlineStr"/>
      <c r="F31" s="49" t="inlineStr"/>
      <c r="G31" s="49" t="inlineStr"/>
      <c r="H31" s="49" t="inlineStr"/>
      <c r="I31" s="50">
        <f>IF(E31&lt;&gt;"",E31,0)</f>
        <v/>
      </c>
      <c r="J31" s="47" t="n"/>
      <c r="K31" s="47" t="n"/>
      <c r="L31" s="47" t="n"/>
      <c r="M31" s="47" t="n"/>
      <c r="N31" s="47" t="n"/>
      <c r="O31" s="47" t="n"/>
      <c r="P31" s="47" t="n"/>
      <c r="Q31" s="47" t="n"/>
      <c r="R31" s="51">
        <f>I31</f>
        <v/>
      </c>
      <c r="S31" s="47" t="n"/>
      <c r="T31" s="47" t="n"/>
      <c r="U31" s="47" t="n"/>
      <c r="V31" s="52" t="n"/>
      <c r="W31" s="52" t="n"/>
      <c r="X31" s="53" t="inlineStr">
        <is>
          <t>12 hinges per unit</t>
        </is>
      </c>
    </row>
    <row r="32" ht="20" customHeight="1">
      <c r="I32" s="68" t="inlineStr">
        <is>
          <t>Per Unit</t>
        </is>
      </c>
      <c r="J32" s="69">
        <f>SUM(J5:J31)</f>
        <v/>
      </c>
      <c r="K32" s="69">
        <f>SUM(K5:K31)</f>
        <v/>
      </c>
      <c r="L32" s="69">
        <f>SUM(L5:L31)</f>
        <v/>
      </c>
      <c r="M32" s="69">
        <f>SUM(M5:M31)</f>
        <v/>
      </c>
      <c r="N32" s="69">
        <f>SUM(N5:N31)</f>
        <v/>
      </c>
      <c r="O32" s="69">
        <f>SUM(O5:O31)</f>
        <v/>
      </c>
      <c r="P32" s="69">
        <f>SUM(P5:P31)</f>
        <v/>
      </c>
      <c r="Q32" s="69">
        <f>SUM(Q5:Q31)</f>
        <v/>
      </c>
      <c r="R32" s="69">
        <f>SUM(R5:R31)</f>
        <v/>
      </c>
      <c r="S32" s="69">
        <f>SUM(S5:S31)</f>
        <v/>
      </c>
      <c r="T32" s="69">
        <f>SUM(T5:T31)</f>
        <v/>
      </c>
      <c r="U32" s="69">
        <f>SUM(U5:U31)</f>
        <v/>
      </c>
    </row>
    <row r="33" ht="22" customHeight="1">
      <c r="H33" s="70">
        <f>H2</f>
        <v/>
      </c>
      <c r="I33" s="71" t="inlineStr">
        <is>
          <t>Total Unit</t>
        </is>
      </c>
      <c r="J33" s="72">
        <f>J32*H2/2.88</f>
        <v/>
      </c>
      <c r="K33" s="72">
        <f>K32*H2/2.88</f>
        <v/>
      </c>
      <c r="L33" s="72">
        <f>L32*H2/2.88</f>
        <v/>
      </c>
      <c r="M33" s="72">
        <f>M32*H2/2.88</f>
        <v/>
      </c>
      <c r="N33" s="72">
        <f>N32*H2/2.88</f>
        <v/>
      </c>
      <c r="O33" s="72">
        <f>O32*H2/2.88</f>
        <v/>
      </c>
      <c r="P33" s="72">
        <f>P32*H2/2.88</f>
        <v/>
      </c>
      <c r="Q33" s="72">
        <f>Q32*H2/2.88</f>
        <v/>
      </c>
      <c r="R33" s="72">
        <f>R32*H2</f>
        <v/>
      </c>
      <c r="S33" s="72">
        <f>S32*H2</f>
        <v/>
      </c>
      <c r="T33" s="72">
        <f>T32*H2/2.88</f>
        <v/>
      </c>
      <c r="U33" s="72">
        <f>U32*H2/2.88</f>
        <v/>
      </c>
    </row>
    <row r="34" ht="10" customHeight="1"/>
    <row r="35" ht="32" customHeight="1">
      <c r="A35" s="35" t="n"/>
      <c r="B35" s="36" t="inlineStr">
        <is>
          <t xml:space="preserve">  B  </t>
        </is>
      </c>
      <c r="C35" s="37" t="inlineStr">
        <is>
          <t>SECTION</t>
        </is>
      </c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5" t="n"/>
      <c r="W35" s="35" t="n"/>
      <c r="X35" s="38" t="inlineStr">
        <is>
          <t>Unit overall dimensions: L 1.18m × W 0.62m × H 1.75m. Shelf layout depicted incorrectly on drawing –</t>
        </is>
      </c>
    </row>
    <row r="36" ht="60" customHeight="1">
      <c r="A36" s="39" t="inlineStr"/>
      <c r="B36" s="39" t="inlineStr">
        <is>
          <t>S.No</t>
        </is>
      </c>
      <c r="C36" s="39" t="inlineStr">
        <is>
          <t>Description</t>
        </is>
      </c>
      <c r="D36" s="39" t="inlineStr">
        <is>
          <t>Unit</t>
        </is>
      </c>
      <c r="E36" s="39" t="inlineStr">
        <is>
          <t>Times</t>
        </is>
      </c>
      <c r="F36" s="39" t="inlineStr">
        <is>
          <t>L</t>
        </is>
      </c>
      <c r="G36" s="39" t="inlineStr">
        <is>
          <t>W</t>
        </is>
      </c>
      <c r="H36" s="39" t="inlineStr">
        <is>
          <t>H</t>
        </is>
      </c>
      <c r="I36" s="39" t="inlineStr">
        <is>
          <t>Total QTY</t>
        </is>
      </c>
      <c r="J36" s="39" t="inlineStr">
        <is>
          <t>6mm Both-Face
Melamine MR MDF Sheet</t>
        </is>
      </c>
      <c r="K36" s="39" t="inlineStr">
        <is>
          <t>9mm Both-Face
Melamine MR MDF Sheet</t>
        </is>
      </c>
      <c r="L36" s="39" t="inlineStr">
        <is>
          <t>12mm Both-Face
Melamine MR MDF Sheet</t>
        </is>
      </c>
      <c r="M36" s="39" t="inlineStr">
        <is>
          <t>18mm Both-Face
Melamine MR MDF Sheet</t>
        </is>
      </c>
      <c r="N36" s="39" t="inlineStr">
        <is>
          <t>18mm Plain
MR MDF Sheet</t>
        </is>
      </c>
      <c r="O36" s="39" t="inlineStr">
        <is>
          <t>Plywood</t>
        </is>
      </c>
      <c r="P36" s="39" t="inlineStr">
        <is>
          <t>25mm Plain MR MDF</t>
        </is>
      </c>
      <c r="Q36" s="39" t="inlineStr">
        <is>
          <t>PL-01
Laminate (0.8mm)</t>
        </is>
      </c>
      <c r="R36" s="39" t="inlineStr">
        <is>
          <t>Full Overlay
Hinges</t>
        </is>
      </c>
      <c r="S36" s="39" t="inlineStr">
        <is>
          <t>Drawer Runner
(0.5m)</t>
        </is>
      </c>
      <c r="T36" s="39" t="inlineStr">
        <is>
          <t>PVC Lipping 25mm</t>
        </is>
      </c>
      <c r="U36" s="39" t="inlineStr">
        <is>
          <t>PVC Lipping 18mm</t>
        </is>
      </c>
      <c r="V36" s="40" t="n"/>
      <c r="W36" s="40" t="n"/>
      <c r="X36" s="39" t="inlineStr">
        <is>
          <t>Remarks</t>
        </is>
      </c>
    </row>
    <row r="37" ht="28" customHeight="1">
      <c r="A37" s="41" t="n"/>
      <c r="B37" s="41" t="n"/>
      <c r="C37" s="42" t="inlineStr">
        <is>
          <t>Carcass</t>
        </is>
      </c>
      <c r="D37" s="41" t="n"/>
      <c r="E37" s="41" t="n"/>
      <c r="F37" s="43" t="n">
        <v>1.18</v>
      </c>
      <c r="G37" s="43" t="n">
        <v>0.62</v>
      </c>
      <c r="H37" s="43" t="n">
        <v>1.75</v>
      </c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</row>
    <row r="38" ht="18" customHeight="1">
      <c r="B38" s="44" t="inlineStr">
        <is>
          <t>B1</t>
        </is>
      </c>
      <c r="C38" s="45" t="inlineStr">
        <is>
          <t>Back panel</t>
        </is>
      </c>
      <c r="D38" s="46" t="inlineStr">
        <is>
          <t>M²</t>
        </is>
      </c>
      <c r="E38" s="47" t="inlineStr"/>
      <c r="F38" s="48">
        <f>$F$37</f>
        <v/>
      </c>
      <c r="G38" s="49" t="inlineStr"/>
      <c r="H38" s="48">
        <f>$H$37</f>
        <v/>
      </c>
      <c r="I38" s="50">
        <f>IFERROR(F38*H38*IF(E38&lt;&gt;"",E38,1),"")</f>
        <v/>
      </c>
      <c r="J38" s="47" t="n"/>
      <c r="K38" s="51">
        <f>I38</f>
        <v/>
      </c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52" t="n"/>
      <c r="W38" s="52" t="n"/>
      <c r="X38" s="53" t="inlineStr"/>
    </row>
    <row r="39" ht="18" customHeight="1">
      <c r="B39" s="54" t="inlineStr">
        <is>
          <t>B2</t>
        </is>
      </c>
      <c r="C39" s="55" t="inlineStr">
        <is>
          <t>Bottom panel</t>
        </is>
      </c>
      <c r="D39" s="56" t="inlineStr">
        <is>
          <t>M²</t>
        </is>
      </c>
      <c r="E39" s="57" t="inlineStr"/>
      <c r="F39" s="58">
        <f>$F$37</f>
        <v/>
      </c>
      <c r="G39" s="58">
        <f>$G$37</f>
        <v/>
      </c>
      <c r="H39" s="59" t="inlineStr"/>
      <c r="I39" s="60">
        <f>IFERROR(F39*G39*IF(E39&lt;&gt;"",E39,1),"")</f>
        <v/>
      </c>
      <c r="J39" s="57" t="n"/>
      <c r="K39" s="57" t="n"/>
      <c r="L39" s="57" t="n"/>
      <c r="M39" s="61">
        <f>I39</f>
        <v/>
      </c>
      <c r="N39" s="57" t="n"/>
      <c r="O39" s="57" t="n"/>
      <c r="P39" s="57" t="n"/>
      <c r="Q39" s="57" t="n"/>
      <c r="R39" s="57" t="n"/>
      <c r="S39" s="57" t="n"/>
      <c r="T39" s="57" t="n"/>
      <c r="U39" s="57" t="n"/>
      <c r="V39" s="62" t="n"/>
      <c r="W39" s="62" t="n"/>
      <c r="X39" s="63" t="inlineStr"/>
    </row>
    <row r="40" ht="18" customHeight="1">
      <c r="B40" s="44" t="inlineStr">
        <is>
          <t>B3</t>
        </is>
      </c>
      <c r="C40" s="45" t="inlineStr">
        <is>
          <t>Top panel</t>
        </is>
      </c>
      <c r="D40" s="46" t="inlineStr">
        <is>
          <t>M²</t>
        </is>
      </c>
      <c r="E40" s="47" t="inlineStr"/>
      <c r="F40" s="48">
        <f>$F$37</f>
        <v/>
      </c>
      <c r="G40" s="48">
        <f>$G$37</f>
        <v/>
      </c>
      <c r="H40" s="49" t="inlineStr"/>
      <c r="I40" s="50">
        <f>IFERROR(F40*G40*IF(E40&lt;&gt;"",E40,1),"")</f>
        <v/>
      </c>
      <c r="J40" s="47" t="n"/>
      <c r="K40" s="47" t="n"/>
      <c r="L40" s="47" t="n"/>
      <c r="M40" s="51">
        <f>I40</f>
        <v/>
      </c>
      <c r="N40" s="47" t="n"/>
      <c r="O40" s="47" t="n"/>
      <c r="P40" s="47" t="n"/>
      <c r="Q40" s="47" t="n"/>
      <c r="R40" s="47" t="n"/>
      <c r="S40" s="47" t="n"/>
      <c r="T40" s="47" t="n"/>
      <c r="U40" s="47" t="n"/>
      <c r="V40" s="52" t="n"/>
      <c r="W40" s="52" t="n"/>
      <c r="X40" s="53" t="inlineStr"/>
    </row>
    <row r="41" ht="18" customHeight="1">
      <c r="B41" s="54" t="inlineStr">
        <is>
          <t>B4</t>
        </is>
      </c>
      <c r="C41" s="55" t="inlineStr">
        <is>
          <t>Side panels</t>
        </is>
      </c>
      <c r="D41" s="56" t="inlineStr">
        <is>
          <t>M²</t>
        </is>
      </c>
      <c r="E41" s="64" t="n">
        <v>2</v>
      </c>
      <c r="F41" s="59" t="inlineStr"/>
      <c r="G41" s="58">
        <f>$G$37</f>
        <v/>
      </c>
      <c r="H41" s="58">
        <f>$H$37</f>
        <v/>
      </c>
      <c r="I41" s="60">
        <f>IFERROR(G41*H41*IF(E41&lt;&gt;"",E41,1),"")</f>
        <v/>
      </c>
      <c r="J41" s="57" t="n"/>
      <c r="K41" s="57" t="n"/>
      <c r="L41" s="57" t="n"/>
      <c r="M41" s="61">
        <f>I41</f>
        <v/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62" t="n"/>
      <c r="W41" s="62" t="n"/>
      <c r="X41" s="63" t="inlineStr"/>
    </row>
    <row r="42" ht="18" customHeight="1">
      <c r="B42" s="44" t="inlineStr">
        <is>
          <t>B5</t>
        </is>
      </c>
      <c r="C42" s="45" t="inlineStr">
        <is>
          <t>Internal dividers</t>
        </is>
      </c>
      <c r="D42" s="46" t="inlineStr">
        <is>
          <t>M²</t>
        </is>
      </c>
      <c r="E42" s="65" t="n">
        <v>2</v>
      </c>
      <c r="F42" s="49" t="inlineStr"/>
      <c r="G42" s="48">
        <f>$G$37</f>
        <v/>
      </c>
      <c r="H42" s="48">
        <f>$H$37</f>
        <v/>
      </c>
      <c r="I42" s="50">
        <f>IFERROR(G42*H42*IF(E42&lt;&gt;"",E42,1),"")</f>
        <v/>
      </c>
      <c r="J42" s="47" t="n"/>
      <c r="K42" s="47" t="n"/>
      <c r="L42" s="47" t="n"/>
      <c r="M42" s="51">
        <f>I42</f>
        <v/>
      </c>
      <c r="N42" s="47" t="n"/>
      <c r="O42" s="47" t="n"/>
      <c r="P42" s="47" t="n"/>
      <c r="Q42" s="47" t="n"/>
      <c r="R42" s="47" t="n"/>
      <c r="S42" s="47" t="n"/>
      <c r="T42" s="47" t="n"/>
      <c r="U42" s="47" t="n"/>
      <c r="V42" s="52" t="n"/>
      <c r="W42" s="52" t="n"/>
      <c r="X42" s="53" t="inlineStr"/>
    </row>
    <row r="43" ht="18" customHeight="1">
      <c r="B43" s="54" t="inlineStr">
        <is>
          <t>B6</t>
        </is>
      </c>
      <c r="C43" s="55" t="inlineStr">
        <is>
          <t>Fixed shelves</t>
        </is>
      </c>
      <c r="D43" s="56" t="inlineStr">
        <is>
          <t>M²</t>
        </is>
      </c>
      <c r="E43" s="64" t="n">
        <v>4</v>
      </c>
      <c r="F43" s="66" t="n">
        <v>0.59</v>
      </c>
      <c r="G43" s="58">
        <f>$G$37</f>
        <v/>
      </c>
      <c r="H43" s="59" t="inlineStr"/>
      <c r="I43" s="60">
        <f>IFERROR(F43*G43*IF(E43&lt;&gt;"",E43,1),"")</f>
        <v/>
      </c>
      <c r="J43" s="57" t="n"/>
      <c r="K43" s="57" t="n"/>
      <c r="L43" s="57" t="n"/>
      <c r="M43" s="61">
        <f>I43</f>
        <v/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62" t="n"/>
      <c r="W43" s="62" t="n"/>
      <c r="X43" s="63" t="inlineStr"/>
    </row>
    <row r="44" ht="18" customHeight="1">
      <c r="B44" s="44" t="inlineStr">
        <is>
          <t>B7</t>
        </is>
      </c>
      <c r="C44" s="45" t="inlineStr">
        <is>
          <t>PVC lipping to all exposed edges</t>
        </is>
      </c>
      <c r="D44" s="46" t="inlineStr">
        <is>
          <t>LM</t>
        </is>
      </c>
      <c r="E44" s="47" t="inlineStr"/>
      <c r="F44" s="49" t="inlineStr"/>
      <c r="G44" s="49" t="inlineStr"/>
      <c r="H44" s="49" t="inlineStr"/>
      <c r="I44" s="50">
        <f>IF(E44&lt;&gt;"",E44,0)</f>
        <v/>
      </c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52" t="n"/>
      <c r="W44" s="52" t="n"/>
      <c r="X44" s="53" t="inlineStr">
        <is>
          <t>Total per unit: 25.02 lm</t>
        </is>
      </c>
    </row>
    <row r="45" ht="28" customHeight="1">
      <c r="A45" s="41" t="n"/>
      <c r="B45" s="41" t="n"/>
      <c r="C45" s="42" t="inlineStr">
        <is>
          <t>Shutter</t>
        </is>
      </c>
      <c r="D45" s="41" t="n"/>
      <c r="E45" s="41" t="n"/>
      <c r="F45" s="43" t="n">
        <v>1.18</v>
      </c>
      <c r="G45" s="67" t="inlineStr">
        <is>
          <t>—</t>
        </is>
      </c>
      <c r="H45" s="43" t="n">
        <v>1.75</v>
      </c>
      <c r="I45" s="41" t="n"/>
      <c r="J45" s="41" t="n"/>
      <c r="K45" s="41" t="n"/>
      <c r="L45" s="41" t="n"/>
      <c r="M45" s="41" t="n"/>
      <c r="N45" s="41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</row>
    <row r="46" ht="18" customHeight="1">
      <c r="B46" s="54" t="inlineStr">
        <is>
          <t>B8</t>
        </is>
      </c>
      <c r="C46" s="55" t="inlineStr">
        <is>
          <t>Plain shutter panel</t>
        </is>
      </c>
      <c r="D46" s="56" t="inlineStr">
        <is>
          <t>M²</t>
        </is>
      </c>
      <c r="E46" s="57" t="inlineStr"/>
      <c r="F46" s="58">
        <f>$F$45</f>
        <v/>
      </c>
      <c r="G46" s="59" t="inlineStr"/>
      <c r="H46" s="58">
        <f>$H$45</f>
        <v/>
      </c>
      <c r="I46" s="60">
        <f>IFERROR(F46*H46*IF(E46&lt;&gt;"",E46,1),"")</f>
        <v/>
      </c>
      <c r="J46" s="57" t="n"/>
      <c r="K46" s="57" t="n"/>
      <c r="L46" s="57" t="n"/>
      <c r="M46" s="57" t="n"/>
      <c r="N46" s="61">
        <f>I46</f>
        <v/>
      </c>
      <c r="O46" s="57" t="n"/>
      <c r="P46" s="57" t="n"/>
      <c r="Q46" s="57" t="n"/>
      <c r="R46" s="57" t="n"/>
      <c r="S46" s="57" t="n"/>
      <c r="T46" s="57" t="n"/>
      <c r="U46" s="57" t="n"/>
      <c r="V46" s="62" t="n"/>
      <c r="W46" s="62" t="n"/>
      <c r="X46" s="63" t="inlineStr">
        <is>
          <t>2 shutter doors; laminate PL-01 both faces = 4.13 m²</t>
        </is>
      </c>
    </row>
    <row r="47" ht="18" customHeight="1">
      <c r="B47" s="44" t="inlineStr">
        <is>
          <t>B9</t>
        </is>
      </c>
      <c r="C47" s="45" t="inlineStr">
        <is>
          <t>PVC lipping to shutter edges</t>
        </is>
      </c>
      <c r="D47" s="46" t="inlineStr">
        <is>
          <t>LM</t>
        </is>
      </c>
      <c r="E47" s="47" t="inlineStr"/>
      <c r="F47" s="49" t="inlineStr"/>
      <c r="G47" s="49" t="inlineStr"/>
      <c r="H47" s="49" t="inlineStr"/>
      <c r="I47" s="50">
        <f>IF(E47&lt;&gt;"",E47,0)</f>
        <v/>
      </c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52" t="n"/>
      <c r="W47" s="52" t="n"/>
      <c r="X47" s="53" t="inlineStr">
        <is>
          <t>Total per unit: 9.36 lm</t>
        </is>
      </c>
    </row>
    <row r="48" ht="28" customHeight="1">
      <c r="A48" s="41" t="n"/>
      <c r="B48" s="41" t="n"/>
      <c r="C48" s="42" t="inlineStr">
        <is>
          <t>Side Panel</t>
        </is>
      </c>
      <c r="D48" s="41" t="n"/>
      <c r="E48" s="41" t="n"/>
      <c r="F48" s="43" t="n">
        <v>0.35</v>
      </c>
      <c r="G48" s="67" t="inlineStr">
        <is>
          <t>—</t>
        </is>
      </c>
      <c r="H48" s="43" t="n">
        <v>2.7</v>
      </c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</row>
    <row r="49" ht="18" customHeight="1">
      <c r="B49" s="54" t="inlineStr">
        <is>
          <t>B10</t>
        </is>
      </c>
      <c r="C49" s="55" t="inlineStr">
        <is>
          <t>Exposed end panel</t>
        </is>
      </c>
      <c r="D49" s="56" t="inlineStr">
        <is>
          <t>M²</t>
        </is>
      </c>
      <c r="E49" s="57" t="inlineStr"/>
      <c r="F49" s="58">
        <f>$F$48</f>
        <v/>
      </c>
      <c r="G49" s="59" t="inlineStr"/>
      <c r="H49" s="58">
        <f>$H$48</f>
        <v/>
      </c>
      <c r="I49" s="60">
        <f>IFERROR(F49*H49*IF(E49&lt;&gt;"",E49,1),"")</f>
        <v/>
      </c>
      <c r="J49" s="57" t="n"/>
      <c r="K49" s="57" t="n"/>
      <c r="L49" s="57" t="n"/>
      <c r="M49" s="57" t="n"/>
      <c r="N49" s="57" t="n"/>
      <c r="O49" s="57" t="n"/>
      <c r="P49" s="61">
        <f>I49</f>
        <v/>
      </c>
      <c r="Q49" s="57" t="n"/>
      <c r="R49" s="57" t="n"/>
      <c r="S49" s="57" t="n"/>
      <c r="T49" s="57" t="n"/>
      <c r="U49" s="57" t="n"/>
      <c r="V49" s="62" t="n"/>
      <c r="W49" s="62" t="n"/>
      <c r="X49" s="63" t="inlineStr">
        <is>
          <t>25mm MDF = 0.945 m²; laminate coverage = 1.045 m²</t>
        </is>
      </c>
    </row>
    <row r="50" ht="18" customHeight="1">
      <c r="B50" s="44" t="inlineStr">
        <is>
          <t>B11</t>
        </is>
      </c>
      <c r="C50" s="45" t="inlineStr">
        <is>
          <t>PVC lipping 25mm exposed edge</t>
        </is>
      </c>
      <c r="D50" s="46" t="inlineStr">
        <is>
          <t>LM</t>
        </is>
      </c>
      <c r="E50" s="47" t="inlineStr"/>
      <c r="F50" s="49" t="inlineStr"/>
      <c r="G50" s="49" t="inlineStr"/>
      <c r="H50" s="49" t="inlineStr"/>
      <c r="I50" s="50">
        <f>IF(E50&lt;&gt;"",E50,0)</f>
        <v/>
      </c>
      <c r="J50" s="47" t="n"/>
      <c r="K50" s="47" t="n"/>
      <c r="L50" s="47" t="n"/>
      <c r="M50" s="47" t="n"/>
      <c r="N50" s="47" t="n"/>
      <c r="O50" s="47" t="n"/>
      <c r="P50" s="47" t="n"/>
      <c r="Q50" s="47" t="n"/>
      <c r="R50" s="47" t="n"/>
      <c r="S50" s="47" t="n"/>
      <c r="T50" s="51">
        <f>I50</f>
        <v/>
      </c>
      <c r="U50" s="47" t="n"/>
      <c r="V50" s="52" t="n"/>
      <c r="W50" s="52" t="n"/>
      <c r="X50" s="53" t="inlineStr">
        <is>
          <t>Total per unit: 3.05 lm</t>
        </is>
      </c>
    </row>
    <row r="51" ht="28" customHeight="1">
      <c r="A51" s="41" t="n"/>
      <c r="B51" s="41" t="n"/>
      <c r="C51" s="42" t="inlineStr">
        <is>
          <t>Hardware</t>
        </is>
      </c>
      <c r="D51" s="41" t="n"/>
      <c r="E51" s="41" t="n"/>
      <c r="F51" s="67" t="inlineStr">
        <is>
          <t>—</t>
        </is>
      </c>
      <c r="G51" s="67" t="inlineStr">
        <is>
          <t>—</t>
        </is>
      </c>
      <c r="H51" s="67" t="inlineStr">
        <is>
          <t>—</t>
        </is>
      </c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</row>
    <row r="52" ht="18" customHeight="1">
      <c r="B52" s="54" t="inlineStr">
        <is>
          <t>B12</t>
        </is>
      </c>
      <c r="C52" s="55" t="inlineStr">
        <is>
          <t>Full overlay soft-close hinges</t>
        </is>
      </c>
      <c r="D52" s="56" t="inlineStr">
        <is>
          <t>Nr</t>
        </is>
      </c>
      <c r="E52" s="57" t="inlineStr"/>
      <c r="F52" s="59" t="inlineStr"/>
      <c r="G52" s="59" t="inlineStr"/>
      <c r="H52" s="59" t="inlineStr"/>
      <c r="I52" s="60">
        <f>IF(E52&lt;&gt;"",E52,0)</f>
        <v/>
      </c>
      <c r="J52" s="57" t="n"/>
      <c r="K52" s="57" t="n"/>
      <c r="L52" s="57" t="n"/>
      <c r="M52" s="57" t="n"/>
      <c r="N52" s="57" t="n"/>
      <c r="O52" s="57" t="n"/>
      <c r="P52" s="57" t="n"/>
      <c r="Q52" s="57" t="n"/>
      <c r="R52" s="61">
        <f>I52</f>
        <v/>
      </c>
      <c r="S52" s="57" t="n"/>
      <c r="T52" s="57" t="n"/>
      <c r="U52" s="57" t="n"/>
      <c r="V52" s="62" t="n"/>
      <c r="W52" s="62" t="n"/>
      <c r="X52" s="63" t="inlineStr">
        <is>
          <t>4 hinges per unit</t>
        </is>
      </c>
    </row>
    <row r="53" ht="20" customHeight="1">
      <c r="I53" s="68" t="inlineStr">
        <is>
          <t>Per Unit</t>
        </is>
      </c>
      <c r="J53" s="69">
        <f>SUM(J37:J52)</f>
        <v/>
      </c>
      <c r="K53" s="69">
        <f>SUM(K37:K52)</f>
        <v/>
      </c>
      <c r="L53" s="69">
        <f>SUM(L37:L52)</f>
        <v/>
      </c>
      <c r="M53" s="69">
        <f>SUM(M37:M52)</f>
        <v/>
      </c>
      <c r="N53" s="69">
        <f>SUM(N37:N52)</f>
        <v/>
      </c>
      <c r="O53" s="69">
        <f>SUM(O37:O52)</f>
        <v/>
      </c>
      <c r="P53" s="69">
        <f>SUM(P37:P52)</f>
        <v/>
      </c>
      <c r="Q53" s="69">
        <f>SUM(Q37:Q52)</f>
        <v/>
      </c>
      <c r="R53" s="69">
        <f>SUM(R37:R52)</f>
        <v/>
      </c>
      <c r="S53" s="69">
        <f>SUM(S37:S52)</f>
        <v/>
      </c>
      <c r="T53" s="69">
        <f>SUM(T37:T52)</f>
        <v/>
      </c>
      <c r="U53" s="69">
        <f>SUM(U37:U52)</f>
        <v/>
      </c>
    </row>
    <row r="54" ht="22" customHeight="1">
      <c r="H54" s="70">
        <f>H2</f>
        <v/>
      </c>
      <c r="I54" s="71" t="inlineStr">
        <is>
          <t>Total Unit</t>
        </is>
      </c>
      <c r="J54" s="72">
        <f>J53*H2/2.88</f>
        <v/>
      </c>
      <c r="K54" s="72">
        <f>K53*H2/2.88</f>
        <v/>
      </c>
      <c r="L54" s="72">
        <f>L53*H2/2.88</f>
        <v/>
      </c>
      <c r="M54" s="72">
        <f>M53*H2/2.88</f>
        <v/>
      </c>
      <c r="N54" s="72">
        <f>N53*H2/2.88</f>
        <v/>
      </c>
      <c r="O54" s="72">
        <f>O53*H2/2.88</f>
        <v/>
      </c>
      <c r="P54" s="72">
        <f>P53*H2/2.88</f>
        <v/>
      </c>
      <c r="Q54" s="72">
        <f>Q53*H2/2.88</f>
        <v/>
      </c>
      <c r="R54" s="72">
        <f>R53*H2</f>
        <v/>
      </c>
      <c r="S54" s="72">
        <f>S53*H2</f>
        <v/>
      </c>
      <c r="T54" s="72">
        <f>T53*H2/2.88</f>
        <v/>
      </c>
      <c r="U54" s="72">
        <f>U53*H2/2.88</f>
        <v/>
      </c>
    </row>
    <row r="55" ht="10" customHeight="1"/>
    <row r="56" ht="32" customHeight="1">
      <c r="A56" s="35" t="n"/>
      <c r="B56" s="36" t="inlineStr">
        <is>
          <t xml:space="preserve">  C  </t>
        </is>
      </c>
      <c r="C56" s="37" t="inlineStr">
        <is>
          <t>SECTION</t>
        </is>
      </c>
      <c r="D56" s="35" t="n"/>
      <c r="E56" s="35" t="n"/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8" t="inlineStr">
        <is>
          <t>Unit overall dimensions: L 1.45m × W 0.63m × H 0.77m</t>
        </is>
      </c>
    </row>
    <row r="57" ht="60" customHeight="1">
      <c r="A57" s="39" t="inlineStr"/>
      <c r="B57" s="39" t="inlineStr">
        <is>
          <t>S.No</t>
        </is>
      </c>
      <c r="C57" s="39" t="inlineStr">
        <is>
          <t>Description</t>
        </is>
      </c>
      <c r="D57" s="39" t="inlineStr">
        <is>
          <t>Unit</t>
        </is>
      </c>
      <c r="E57" s="39" t="inlineStr">
        <is>
          <t>Times</t>
        </is>
      </c>
      <c r="F57" s="39" t="inlineStr">
        <is>
          <t>L</t>
        </is>
      </c>
      <c r="G57" s="39" t="inlineStr">
        <is>
          <t>W</t>
        </is>
      </c>
      <c r="H57" s="39" t="inlineStr">
        <is>
          <t>H</t>
        </is>
      </c>
      <c r="I57" s="39" t="inlineStr">
        <is>
          <t>Total QTY</t>
        </is>
      </c>
      <c r="J57" s="39" t="inlineStr">
        <is>
          <t>6mm Both-Face
Melamine MR MDF Sheet</t>
        </is>
      </c>
      <c r="K57" s="39" t="inlineStr">
        <is>
          <t>9mm Both-Face
Melamine MR MDF Sheet</t>
        </is>
      </c>
      <c r="L57" s="39" t="inlineStr">
        <is>
          <t>12mm Both-Face
Melamine MR MDF Sheet</t>
        </is>
      </c>
      <c r="M57" s="39" t="inlineStr">
        <is>
          <t>18mm Both-Face
Melamine MR MDF Sheet</t>
        </is>
      </c>
      <c r="N57" s="39" t="inlineStr">
        <is>
          <t>18mm Plain
MR MDF Sheet</t>
        </is>
      </c>
      <c r="O57" s="39" t="inlineStr">
        <is>
          <t>Plywood</t>
        </is>
      </c>
      <c r="P57" s="39" t="inlineStr">
        <is>
          <t>25mm Plain MR MDF</t>
        </is>
      </c>
      <c r="Q57" s="39" t="inlineStr">
        <is>
          <t>PL-01
Laminate (0.8mm)</t>
        </is>
      </c>
      <c r="R57" s="39" t="inlineStr">
        <is>
          <t>Full Overlay
Hinges</t>
        </is>
      </c>
      <c r="S57" s="39" t="inlineStr">
        <is>
          <t>Drawer Runner
(0.5m)</t>
        </is>
      </c>
      <c r="T57" s="39" t="inlineStr">
        <is>
          <t>PVC Lipping 25mm</t>
        </is>
      </c>
      <c r="U57" s="39" t="inlineStr">
        <is>
          <t>PVC Lipping 18mm</t>
        </is>
      </c>
      <c r="V57" s="40" t="n"/>
      <c r="W57" s="40" t="n"/>
      <c r="X57" s="39" t="inlineStr">
        <is>
          <t>Remarks</t>
        </is>
      </c>
    </row>
    <row r="58" ht="28" customHeight="1">
      <c r="A58" s="41" t="n"/>
      <c r="B58" s="41" t="n"/>
      <c r="C58" s="42" t="inlineStr">
        <is>
          <t>Carcass</t>
        </is>
      </c>
      <c r="D58" s="41" t="n"/>
      <c r="E58" s="41" t="n"/>
      <c r="F58" s="43" t="n">
        <v>1.45</v>
      </c>
      <c r="G58" s="43" t="n">
        <v>0.63</v>
      </c>
      <c r="H58" s="43" t="n">
        <v>0.77</v>
      </c>
      <c r="I58" s="41" t="n"/>
      <c r="J58" s="41" t="n"/>
      <c r="K58" s="41" t="n"/>
      <c r="L58" s="41" t="n"/>
      <c r="M58" s="41" t="n"/>
      <c r="N58" s="41" t="n"/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</row>
    <row r="59" ht="18" customHeight="1">
      <c r="B59" s="44" t="inlineStr">
        <is>
          <t>C1</t>
        </is>
      </c>
      <c r="C59" s="45" t="inlineStr">
        <is>
          <t>Back panel</t>
        </is>
      </c>
      <c r="D59" s="46" t="inlineStr">
        <is>
          <t>M²</t>
        </is>
      </c>
      <c r="E59" s="47" t="inlineStr"/>
      <c r="F59" s="48">
        <f>$F$58</f>
        <v/>
      </c>
      <c r="G59" s="49" t="inlineStr"/>
      <c r="H59" s="48">
        <f>$H$58</f>
        <v/>
      </c>
      <c r="I59" s="50">
        <f>IFERROR(F59*H59*IF(E59&lt;&gt;"",E59,1),"")</f>
        <v/>
      </c>
      <c r="J59" s="47" t="n"/>
      <c r="K59" s="51">
        <f>I59</f>
        <v/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52" t="n"/>
      <c r="W59" s="52" t="n"/>
      <c r="X59" s="53" t="inlineStr"/>
    </row>
    <row r="60" ht="18" customHeight="1">
      <c r="B60" s="54" t="inlineStr">
        <is>
          <t>C2</t>
        </is>
      </c>
      <c r="C60" s="55" t="inlineStr">
        <is>
          <t>Bottom panel</t>
        </is>
      </c>
      <c r="D60" s="56" t="inlineStr">
        <is>
          <t>M²</t>
        </is>
      </c>
      <c r="E60" s="57" t="inlineStr"/>
      <c r="F60" s="58">
        <f>$F$58</f>
        <v/>
      </c>
      <c r="G60" s="58">
        <f>$G$58</f>
        <v/>
      </c>
      <c r="H60" s="59" t="inlineStr"/>
      <c r="I60" s="60">
        <f>IFERROR(F60*G60*IF(E60&lt;&gt;"",E60,1),"")</f>
        <v/>
      </c>
      <c r="J60" s="57" t="n"/>
      <c r="K60" s="57" t="n"/>
      <c r="L60" s="57" t="n"/>
      <c r="M60" s="61">
        <f>I60</f>
        <v/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62" t="n"/>
      <c r="W60" s="62" t="n"/>
      <c r="X60" s="63" t="inlineStr"/>
    </row>
    <row r="61" ht="18" customHeight="1">
      <c r="B61" s="44" t="inlineStr">
        <is>
          <t>C3</t>
        </is>
      </c>
      <c r="C61" s="45" t="inlineStr">
        <is>
          <t>Top panel (open top – qty 0)</t>
        </is>
      </c>
      <c r="D61" s="46" t="inlineStr">
        <is>
          <t>M²</t>
        </is>
      </c>
      <c r="E61" s="47" t="inlineStr"/>
      <c r="F61" s="48">
        <f>$F$58</f>
        <v/>
      </c>
      <c r="G61" s="48">
        <f>$G$58</f>
        <v/>
      </c>
      <c r="H61" s="49" t="inlineStr"/>
      <c r="I61" s="50">
        <f>IFERROR(F61*G61*IF(E61&lt;&gt;"",E61,1),"")</f>
        <v/>
      </c>
      <c r="J61" s="47" t="n"/>
      <c r="K61" s="47" t="n"/>
      <c r="L61" s="47" t="n"/>
      <c r="M61" s="51">
        <f>I61</f>
        <v/>
      </c>
      <c r="N61" s="47" t="n"/>
      <c r="O61" s="47" t="n"/>
      <c r="P61" s="47" t="n"/>
      <c r="Q61" s="47" t="n"/>
      <c r="R61" s="47" t="n"/>
      <c r="S61" s="47" t="n"/>
      <c r="T61" s="47" t="n"/>
      <c r="U61" s="47" t="n"/>
      <c r="V61" s="52" t="n"/>
      <c r="W61" s="52" t="n"/>
      <c r="X61" s="53" t="inlineStr">
        <is>
          <t>Open-top configuration; qty = 0</t>
        </is>
      </c>
    </row>
    <row r="62" ht="18" customHeight="1">
      <c r="B62" s="54" t="inlineStr">
        <is>
          <t>C4</t>
        </is>
      </c>
      <c r="C62" s="55" t="inlineStr">
        <is>
          <t>Side panels</t>
        </is>
      </c>
      <c r="D62" s="56" t="inlineStr">
        <is>
          <t>M²</t>
        </is>
      </c>
      <c r="E62" s="64" t="n">
        <v>2</v>
      </c>
      <c r="F62" s="59" t="inlineStr"/>
      <c r="G62" s="58">
        <f>$G$58</f>
        <v/>
      </c>
      <c r="H62" s="58">
        <f>$H$58</f>
        <v/>
      </c>
      <c r="I62" s="60">
        <f>IFERROR(G62*H62*IF(E62&lt;&gt;"",E62,1),"")</f>
        <v/>
      </c>
      <c r="J62" s="57" t="n"/>
      <c r="K62" s="57" t="n"/>
      <c r="L62" s="57" t="n"/>
      <c r="M62" s="61">
        <f>I62</f>
        <v/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62" t="n"/>
      <c r="W62" s="62" t="n"/>
      <c r="X62" s="63" t="inlineStr"/>
    </row>
    <row r="63" ht="18" customHeight="1">
      <c r="B63" s="44" t="inlineStr">
        <is>
          <t>C5</t>
        </is>
      </c>
      <c r="C63" s="45" t="inlineStr">
        <is>
          <t>Internal dividers</t>
        </is>
      </c>
      <c r="D63" s="46" t="inlineStr">
        <is>
          <t>M²</t>
        </is>
      </c>
      <c r="E63" s="65" t="n">
        <v>3</v>
      </c>
      <c r="F63" s="49" t="inlineStr"/>
      <c r="G63" s="48">
        <f>$G$58</f>
        <v/>
      </c>
      <c r="H63" s="48">
        <f>$H$58</f>
        <v/>
      </c>
      <c r="I63" s="50">
        <f>IFERROR(G63*H63*IF(E63&lt;&gt;"",E63,1),"")</f>
        <v/>
      </c>
      <c r="J63" s="47" t="n"/>
      <c r="K63" s="47" t="n"/>
      <c r="L63" s="47" t="n"/>
      <c r="M63" s="51">
        <f>I63</f>
        <v/>
      </c>
      <c r="N63" s="47" t="n"/>
      <c r="O63" s="47" t="n"/>
      <c r="P63" s="47" t="n"/>
      <c r="Q63" s="47" t="n"/>
      <c r="R63" s="47" t="n"/>
      <c r="S63" s="47" t="n"/>
      <c r="T63" s="47" t="n"/>
      <c r="U63" s="47" t="n"/>
      <c r="V63" s="52" t="n"/>
      <c r="W63" s="52" t="n"/>
      <c r="X63" s="53" t="inlineStr"/>
    </row>
    <row r="64" ht="18" customHeight="1">
      <c r="B64" s="54" t="inlineStr">
        <is>
          <t>C6</t>
        </is>
      </c>
      <c r="C64" s="55" t="inlineStr">
        <is>
          <t>Fixed shelves (nil)</t>
        </is>
      </c>
      <c r="D64" s="56" t="inlineStr">
        <is>
          <t>M²</t>
        </is>
      </c>
      <c r="E64" s="57" t="inlineStr"/>
      <c r="F64" s="58">
        <f>$F$58</f>
        <v/>
      </c>
      <c r="G64" s="58">
        <f>$G$58</f>
        <v/>
      </c>
      <c r="H64" s="59" t="inlineStr"/>
      <c r="I64" s="60">
        <f>IFERROR(F64*G64*IF(E64&lt;&gt;"",E64,1),"")</f>
        <v/>
      </c>
      <c r="J64" s="57" t="n"/>
      <c r="K64" s="57" t="n"/>
      <c r="L64" s="57" t="n"/>
      <c r="M64" s="61">
        <f>I64</f>
        <v/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62" t="n"/>
      <c r="W64" s="62" t="n"/>
      <c r="X64" s="63" t="inlineStr">
        <is>
          <t>No fixed shelves in base unit</t>
        </is>
      </c>
    </row>
    <row r="65" ht="18" customHeight="1">
      <c r="B65" s="44" t="inlineStr">
        <is>
          <t>C7</t>
        </is>
      </c>
      <c r="C65" s="45" t="inlineStr">
        <is>
          <t>PVC lipping to all exposed edges</t>
        </is>
      </c>
      <c r="D65" s="46" t="inlineStr">
        <is>
          <t>LM</t>
        </is>
      </c>
      <c r="E65" s="47" t="inlineStr"/>
      <c r="F65" s="49" t="inlineStr"/>
      <c r="G65" s="49" t="inlineStr"/>
      <c r="H65" s="49" t="inlineStr"/>
      <c r="I65" s="50">
        <f>IF(E65&lt;&gt;"",E65,0)</f>
        <v/>
      </c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52" t="n"/>
      <c r="W65" s="52" t="n"/>
      <c r="X65" s="53" t="inlineStr">
        <is>
          <t>Total per unit: 10.81 lm</t>
        </is>
      </c>
    </row>
    <row r="66" ht="28" customHeight="1">
      <c r="A66" s="41" t="n"/>
      <c r="B66" s="41" t="n"/>
      <c r="C66" s="42" t="inlineStr">
        <is>
          <t>Drawer</t>
        </is>
      </c>
      <c r="D66" s="41" t="n"/>
      <c r="E66" s="41" t="n"/>
      <c r="F66" s="43" t="n">
        <v>0.54</v>
      </c>
      <c r="G66" s="43" t="n">
        <v>0.5</v>
      </c>
      <c r="H66" s="43" t="n">
        <v>0.14</v>
      </c>
      <c r="I66" s="41" t="n"/>
      <c r="J66" s="41" t="n"/>
      <c r="K66" s="41" t="n"/>
      <c r="L66" s="41" t="n"/>
      <c r="M66" s="41" t="n"/>
      <c r="N66" s="41" t="n"/>
      <c r="O66" s="41" t="n"/>
      <c r="P66" s="41" t="n"/>
      <c r="Q66" s="41" t="n"/>
      <c r="R66" s="41" t="n"/>
      <c r="S66" s="41" t="n"/>
      <c r="T66" s="41" t="n"/>
      <c r="U66" s="41" t="n"/>
      <c r="V66" s="41" t="n"/>
      <c r="W66" s="41" t="n"/>
      <c r="X66" s="41" t="n"/>
    </row>
    <row r="67" ht="18" customHeight="1">
      <c r="B67" s="54" t="inlineStr">
        <is>
          <t>C8</t>
        </is>
      </c>
      <c r="C67" s="55" t="inlineStr">
        <is>
          <t>Drawer front panel</t>
        </is>
      </c>
      <c r="D67" s="56" t="inlineStr">
        <is>
          <t>M²</t>
        </is>
      </c>
      <c r="E67" s="57" t="inlineStr"/>
      <c r="F67" s="58">
        <f>$F$66</f>
        <v/>
      </c>
      <c r="G67" s="59" t="inlineStr"/>
      <c r="H67" s="58">
        <f>$H$66</f>
        <v/>
      </c>
      <c r="I67" s="60">
        <f>IFERROR(F67*H67*IF(E67&lt;&gt;"",E67,1),"")</f>
        <v/>
      </c>
      <c r="J67" s="57" t="n"/>
      <c r="K67" s="57" t="n"/>
      <c r="L67" s="57" t="n"/>
      <c r="M67" s="61">
        <f>I67</f>
        <v/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62" t="n"/>
      <c r="W67" s="62" t="n"/>
      <c r="X67" s="63" t="inlineStr"/>
    </row>
    <row r="68" ht="18" customHeight="1">
      <c r="B68" s="44" t="inlineStr">
        <is>
          <t>C9</t>
        </is>
      </c>
      <c r="C68" s="45" t="inlineStr">
        <is>
          <t>Drawer sides</t>
        </is>
      </c>
      <c r="D68" s="46" t="inlineStr">
        <is>
          <t>M²</t>
        </is>
      </c>
      <c r="E68" s="65" t="n">
        <v>4</v>
      </c>
      <c r="F68" s="48">
        <f>$F$66</f>
        <v/>
      </c>
      <c r="G68" s="49" t="inlineStr"/>
      <c r="H68" s="48">
        <f>$H$66</f>
        <v/>
      </c>
      <c r="I68" s="50">
        <f>IFERROR(F68*H68*IF(E68&lt;&gt;"",E68,1),"")</f>
        <v/>
      </c>
      <c r="J68" s="47" t="n"/>
      <c r="K68" s="47" t="n"/>
      <c r="L68" s="51">
        <f>I68</f>
        <v/>
      </c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52" t="n"/>
      <c r="W68" s="52" t="n"/>
      <c r="X68" s="53" t="inlineStr"/>
    </row>
    <row r="69" ht="18" customHeight="1">
      <c r="B69" s="54" t="inlineStr">
        <is>
          <t>C10</t>
        </is>
      </c>
      <c r="C69" s="55" t="inlineStr">
        <is>
          <t>Drawer bottom panel</t>
        </is>
      </c>
      <c r="D69" s="56" t="inlineStr">
        <is>
          <t>M²</t>
        </is>
      </c>
      <c r="E69" s="57" t="inlineStr"/>
      <c r="F69" s="58">
        <f>$F$66</f>
        <v/>
      </c>
      <c r="G69" s="58">
        <f>$G$66</f>
        <v/>
      </c>
      <c r="H69" s="59" t="inlineStr"/>
      <c r="I69" s="60">
        <f>IFERROR(F69*G69*IF(E69&lt;&gt;"",E69,1),"")</f>
        <v/>
      </c>
      <c r="J69" s="61">
        <f>I69</f>
        <v/>
      </c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62" t="n"/>
      <c r="W69" s="62" t="n"/>
      <c r="X69" s="63" t="inlineStr"/>
    </row>
    <row r="70" ht="18" customHeight="1">
      <c r="B70" s="44" t="inlineStr">
        <is>
          <t>C11</t>
        </is>
      </c>
      <c r="C70" s="45" t="inlineStr">
        <is>
          <t>PVC lipping 18mm drawer front edges</t>
        </is>
      </c>
      <c r="D70" s="46" t="inlineStr">
        <is>
          <t>LM</t>
        </is>
      </c>
      <c r="E70" s="47" t="inlineStr"/>
      <c r="F70" s="49" t="inlineStr"/>
      <c r="G70" s="49" t="inlineStr"/>
      <c r="H70" s="49" t="inlineStr"/>
      <c r="I70" s="50">
        <f>IF(E70&lt;&gt;"",E70,0)</f>
        <v/>
      </c>
      <c r="J70" s="47" t="n"/>
      <c r="K70" s="47" t="n"/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51">
        <f>I70</f>
        <v/>
      </c>
      <c r="V70" s="52" t="n"/>
      <c r="W70" s="52" t="n"/>
      <c r="X70" s="53" t="inlineStr">
        <is>
          <t>Total per unit: 1.36 lm</t>
        </is>
      </c>
    </row>
    <row r="71" ht="18" customHeight="1">
      <c r="B71" s="54" t="inlineStr">
        <is>
          <t>C12</t>
        </is>
      </c>
      <c r="C71" s="55" t="inlineStr">
        <is>
          <t>PVC lipping 12mm drawer box edges</t>
        </is>
      </c>
      <c r="D71" s="56" t="inlineStr">
        <is>
          <t>LM</t>
        </is>
      </c>
      <c r="E71" s="57" t="inlineStr"/>
      <c r="F71" s="59" t="inlineStr"/>
      <c r="G71" s="59" t="inlineStr"/>
      <c r="H71" s="59" t="inlineStr"/>
      <c r="I71" s="60">
        <f>IF(E71&lt;&gt;"",E71,0)</f>
        <v/>
      </c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62" t="n"/>
      <c r="W71" s="62" t="n"/>
      <c r="X71" s="63" t="inlineStr">
        <is>
          <t>Total per unit: 2.08 lm</t>
        </is>
      </c>
    </row>
    <row r="72" ht="28" customHeight="1">
      <c r="A72" s="41" t="n"/>
      <c r="B72" s="41" t="n"/>
      <c r="C72" s="42" t="inlineStr">
        <is>
          <t>Shutter</t>
        </is>
      </c>
      <c r="D72" s="41" t="n"/>
      <c r="E72" s="41" t="n"/>
      <c r="F72" s="43" t="n">
        <v>1.45</v>
      </c>
      <c r="G72" s="67" t="inlineStr">
        <is>
          <t>—</t>
        </is>
      </c>
      <c r="H72" s="43" t="n">
        <v>0.77</v>
      </c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  <c r="R72" s="41" t="n"/>
      <c r="S72" s="41" t="n"/>
      <c r="T72" s="41" t="n"/>
      <c r="U72" s="41" t="n"/>
      <c r="V72" s="41" t="n"/>
      <c r="W72" s="41" t="n"/>
      <c r="X72" s="41" t="n"/>
    </row>
    <row r="73" ht="18" customHeight="1">
      <c r="B73" s="44" t="inlineStr">
        <is>
          <t>C13</t>
        </is>
      </c>
      <c r="C73" s="45" t="inlineStr">
        <is>
          <t>Plain shutter panel</t>
        </is>
      </c>
      <c r="D73" s="46" t="inlineStr">
        <is>
          <t>M²</t>
        </is>
      </c>
      <c r="E73" s="47" t="inlineStr"/>
      <c r="F73" s="48">
        <f>$F$72</f>
        <v/>
      </c>
      <c r="G73" s="49" t="inlineStr"/>
      <c r="H73" s="48">
        <f>$H$72</f>
        <v/>
      </c>
      <c r="I73" s="50">
        <f>IFERROR(F73*H73*IF(E73&lt;&gt;"",E73,1),"")</f>
        <v/>
      </c>
      <c r="J73" s="47" t="n"/>
      <c r="K73" s="47" t="n"/>
      <c r="L73" s="47" t="n"/>
      <c r="M73" s="47" t="n"/>
      <c r="N73" s="51">
        <f>I73</f>
        <v/>
      </c>
      <c r="O73" s="47" t="n"/>
      <c r="P73" s="47" t="n"/>
      <c r="Q73" s="47" t="n"/>
      <c r="R73" s="47" t="n"/>
      <c r="S73" s="47" t="n"/>
      <c r="T73" s="47" t="n"/>
      <c r="U73" s="47" t="n"/>
      <c r="V73" s="52" t="n"/>
      <c r="W73" s="52" t="n"/>
      <c r="X73" s="53" t="inlineStr">
        <is>
          <t>Laminate PL-01 both faces = 2.233 m²</t>
        </is>
      </c>
    </row>
    <row r="74" ht="18" customHeight="1">
      <c r="B74" s="54" t="inlineStr">
        <is>
          <t>C14</t>
        </is>
      </c>
      <c r="C74" s="55" t="inlineStr">
        <is>
          <t>PVC lipping to shutter edges</t>
        </is>
      </c>
      <c r="D74" s="56" t="inlineStr">
        <is>
          <t>LM</t>
        </is>
      </c>
      <c r="E74" s="57" t="inlineStr"/>
      <c r="F74" s="59" t="inlineStr"/>
      <c r="G74" s="59" t="inlineStr"/>
      <c r="H74" s="59" t="inlineStr"/>
      <c r="I74" s="60">
        <f>IF(E74&lt;&gt;"",E74,0)</f>
        <v/>
      </c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62" t="n"/>
      <c r="W74" s="62" t="n"/>
      <c r="X74" s="63" t="inlineStr">
        <is>
          <t>Total per unit: 4.44 lm</t>
        </is>
      </c>
    </row>
    <row r="75" ht="28" customHeight="1">
      <c r="A75" s="41" t="n"/>
      <c r="B75" s="41" t="n"/>
      <c r="C75" s="42" t="inlineStr">
        <is>
          <t>Counter Substrate</t>
        </is>
      </c>
      <c r="D75" s="41" t="n"/>
      <c r="E75" s="41" t="n"/>
      <c r="F75" s="43" t="n">
        <v>1.45</v>
      </c>
      <c r="G75" s="43" t="n">
        <v>0.63</v>
      </c>
      <c r="H75" s="67" t="inlineStr">
        <is>
          <t>—</t>
        </is>
      </c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  <c r="R75" s="41" t="n"/>
      <c r="S75" s="41" t="n"/>
      <c r="T75" s="41" t="n"/>
      <c r="U75" s="41" t="n"/>
      <c r="V75" s="41" t="n"/>
      <c r="W75" s="41" t="n"/>
      <c r="X75" s="41" t="n"/>
    </row>
    <row r="76" ht="18" customHeight="1">
      <c r="B76" s="44" t="inlineStr">
        <is>
          <t>C15</t>
        </is>
      </c>
      <c r="C76" s="45" t="inlineStr">
        <is>
          <t>Plywood base to countertop</t>
        </is>
      </c>
      <c r="D76" s="46" t="inlineStr">
        <is>
          <t>M²</t>
        </is>
      </c>
      <c r="E76" s="47" t="inlineStr"/>
      <c r="F76" s="48">
        <f>$F$75</f>
        <v/>
      </c>
      <c r="G76" s="48">
        <f>$G$75</f>
        <v/>
      </c>
      <c r="H76" s="49" t="inlineStr"/>
      <c r="I76" s="50">
        <f>IFERROR(F76*G76*IF(E76&lt;&gt;"",E76,1),"")</f>
        <v/>
      </c>
      <c r="J76" s="47" t="n"/>
      <c r="K76" s="47" t="n"/>
      <c r="L76" s="47" t="n"/>
      <c r="M76" s="47" t="n"/>
      <c r="N76" s="47" t="n"/>
      <c r="O76" s="51">
        <f>I76</f>
        <v/>
      </c>
      <c r="P76" s="47" t="n"/>
      <c r="Q76" s="47" t="n"/>
      <c r="R76" s="47" t="n"/>
      <c r="S76" s="47" t="n"/>
      <c r="T76" s="47" t="n"/>
      <c r="U76" s="47" t="n"/>
      <c r="V76" s="52" t="n"/>
      <c r="W76" s="52" t="n"/>
      <c r="X76" s="53" t="inlineStr"/>
    </row>
    <row r="77" ht="28" customHeight="1">
      <c r="A77" s="41" t="n"/>
      <c r="B77" s="41" t="n"/>
      <c r="C77" s="42" t="inlineStr">
        <is>
          <t>Hardware</t>
        </is>
      </c>
      <c r="D77" s="41" t="n"/>
      <c r="E77" s="41" t="n"/>
      <c r="F77" s="67" t="inlineStr">
        <is>
          <t>—</t>
        </is>
      </c>
      <c r="G77" s="67" t="inlineStr">
        <is>
          <t>—</t>
        </is>
      </c>
      <c r="H77" s="67" t="inlineStr">
        <is>
          <t>—</t>
        </is>
      </c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  <c r="R77" s="41" t="n"/>
      <c r="S77" s="41" t="n"/>
      <c r="T77" s="41" t="n"/>
      <c r="U77" s="41" t="n"/>
      <c r="V77" s="41" t="n"/>
      <c r="W77" s="41" t="n"/>
      <c r="X77" s="41" t="n"/>
    </row>
    <row r="78" ht="18" customHeight="1">
      <c r="B78" s="54" t="inlineStr">
        <is>
          <t>C16</t>
        </is>
      </c>
      <c r="C78" s="55" t="inlineStr">
        <is>
          <t>Full overlay soft-close hinges</t>
        </is>
      </c>
      <c r="D78" s="56" t="inlineStr">
        <is>
          <t>Nr</t>
        </is>
      </c>
      <c r="E78" s="57" t="inlineStr"/>
      <c r="F78" s="59" t="inlineStr"/>
      <c r="G78" s="59" t="inlineStr"/>
      <c r="H78" s="59" t="inlineStr"/>
      <c r="I78" s="60">
        <f>IF(E78&lt;&gt;"",E78,0)</f>
        <v/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61">
        <f>I78</f>
        <v/>
      </c>
      <c r="S78" s="57" t="n"/>
      <c r="T78" s="57" t="n"/>
      <c r="U78" s="57" t="n"/>
      <c r="V78" s="62" t="n"/>
      <c r="W78" s="62" t="n"/>
      <c r="X78" s="63" t="inlineStr"/>
    </row>
    <row r="79" ht="18" customHeight="1">
      <c r="B79" s="44" t="inlineStr">
        <is>
          <t>C17</t>
        </is>
      </c>
      <c r="C79" s="45" t="inlineStr">
        <is>
          <t>Soft-close full-extension drawer runners</t>
        </is>
      </c>
      <c r="D79" s="46" t="inlineStr">
        <is>
          <t>Pr</t>
        </is>
      </c>
      <c r="E79" s="47" t="inlineStr"/>
      <c r="F79" s="49" t="inlineStr"/>
      <c r="G79" s="49" t="inlineStr"/>
      <c r="H79" s="49" t="inlineStr"/>
      <c r="I79" s="50">
        <f>IF(E79&lt;&gt;"",E79,0)</f>
        <v/>
      </c>
      <c r="J79" s="47" t="n"/>
      <c r="K79" s="47" t="n"/>
      <c r="L79" s="47" t="n"/>
      <c r="M79" s="47" t="n"/>
      <c r="N79" s="47" t="n"/>
      <c r="O79" s="47" t="n"/>
      <c r="P79" s="47" t="n"/>
      <c r="Q79" s="47" t="n"/>
      <c r="R79" s="47" t="n"/>
      <c r="S79" s="51">
        <f>I79</f>
        <v/>
      </c>
      <c r="T79" s="47" t="n"/>
      <c r="U79" s="47" t="n"/>
      <c r="V79" s="52" t="n"/>
      <c r="W79" s="52" t="n"/>
      <c r="X79" s="53" t="inlineStr"/>
    </row>
    <row r="80" ht="18" customHeight="1">
      <c r="B80" s="54" t="inlineStr">
        <is>
          <t>C18</t>
        </is>
      </c>
      <c r="C80" s="55" t="inlineStr">
        <is>
          <t>Aluminium skirting to base of unit</t>
        </is>
      </c>
      <c r="D80" s="56" t="inlineStr">
        <is>
          <t>LM</t>
        </is>
      </c>
      <c r="E80" s="57" t="inlineStr"/>
      <c r="F80" s="59" t="inlineStr"/>
      <c r="G80" s="59" t="inlineStr"/>
      <c r="H80" s="59" t="inlineStr"/>
      <c r="I80" s="60">
        <f>IF(E80&lt;&gt;"",E80,0)</f>
        <v/>
      </c>
      <c r="J80" s="57" t="n"/>
      <c r="K80" s="57" t="n"/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62" t="n"/>
      <c r="W80" s="62" t="n"/>
      <c r="X80" s="63" t="inlineStr">
        <is>
          <t>Total per unit: 1.45 lm</t>
        </is>
      </c>
    </row>
    <row r="81" ht="20" customHeight="1">
      <c r="I81" s="68" t="inlineStr">
        <is>
          <t>Per Unit</t>
        </is>
      </c>
      <c r="J81" s="69">
        <f>SUM(J58:J80)</f>
        <v/>
      </c>
      <c r="K81" s="69">
        <f>SUM(K58:K80)</f>
        <v/>
      </c>
      <c r="L81" s="69">
        <f>SUM(L58:L80)</f>
        <v/>
      </c>
      <c r="M81" s="69">
        <f>SUM(M58:M80)</f>
        <v/>
      </c>
      <c r="N81" s="69">
        <f>SUM(N58:N80)</f>
        <v/>
      </c>
      <c r="O81" s="69">
        <f>SUM(O58:O80)</f>
        <v/>
      </c>
      <c r="P81" s="69">
        <f>SUM(P58:P80)</f>
        <v/>
      </c>
      <c r="Q81" s="69">
        <f>SUM(Q58:Q80)</f>
        <v/>
      </c>
      <c r="R81" s="69">
        <f>SUM(R58:R80)</f>
        <v/>
      </c>
      <c r="S81" s="69">
        <f>SUM(S58:S80)</f>
        <v/>
      </c>
      <c r="T81" s="69">
        <f>SUM(T58:T80)</f>
        <v/>
      </c>
      <c r="U81" s="69">
        <f>SUM(U58:U80)</f>
        <v/>
      </c>
    </row>
    <row r="82" ht="22" customHeight="1">
      <c r="H82" s="70">
        <f>H2</f>
        <v/>
      </c>
      <c r="I82" s="71" t="inlineStr">
        <is>
          <t>Total Unit</t>
        </is>
      </c>
      <c r="J82" s="72">
        <f>J81*H2/2.88</f>
        <v/>
      </c>
      <c r="K82" s="72">
        <f>K81*H2/2.88</f>
        <v/>
      </c>
      <c r="L82" s="72">
        <f>L81*H2/2.88</f>
        <v/>
      </c>
      <c r="M82" s="72">
        <f>M81*H2/2.88</f>
        <v/>
      </c>
      <c r="N82" s="72">
        <f>N81*H2/2.88</f>
        <v/>
      </c>
      <c r="O82" s="72">
        <f>O81*H2/2.88</f>
        <v/>
      </c>
      <c r="P82" s="72">
        <f>P81*H2/2.88</f>
        <v/>
      </c>
      <c r="Q82" s="72">
        <f>Q81*H2/2.88</f>
        <v/>
      </c>
      <c r="R82" s="72">
        <f>R81*H2</f>
        <v/>
      </c>
      <c r="S82" s="72">
        <f>S81*H2</f>
        <v/>
      </c>
      <c r="T82" s="72">
        <f>T81*H2/2.88</f>
        <v/>
      </c>
      <c r="U82" s="72">
        <f>U81*H2/2.88</f>
        <v/>
      </c>
    </row>
    <row r="83" ht="10" customHeight="1"/>
    <row r="84" ht="32" customHeight="1">
      <c r="A84" s="35" t="n"/>
      <c r="B84" s="36" t="inlineStr">
        <is>
          <t xml:space="preserve">  D  </t>
        </is>
      </c>
      <c r="C84" s="37" t="inlineStr">
        <is>
          <t>SECTION</t>
        </is>
      </c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8" t="inlineStr">
        <is>
          <t>Unit overall dimensions: L 1.18m × W 0.62m × H 0.76m</t>
        </is>
      </c>
    </row>
    <row r="85" ht="60" customHeight="1">
      <c r="A85" s="39" t="inlineStr"/>
      <c r="B85" s="39" t="inlineStr">
        <is>
          <t>S.No</t>
        </is>
      </c>
      <c r="C85" s="39" t="inlineStr">
        <is>
          <t>Description</t>
        </is>
      </c>
      <c r="D85" s="39" t="inlineStr">
        <is>
          <t>Unit</t>
        </is>
      </c>
      <c r="E85" s="39" t="inlineStr">
        <is>
          <t>Times</t>
        </is>
      </c>
      <c r="F85" s="39" t="inlineStr">
        <is>
          <t>L</t>
        </is>
      </c>
      <c r="G85" s="39" t="inlineStr">
        <is>
          <t>W</t>
        </is>
      </c>
      <c r="H85" s="39" t="inlineStr">
        <is>
          <t>H</t>
        </is>
      </c>
      <c r="I85" s="39" t="inlineStr">
        <is>
          <t>Total QTY</t>
        </is>
      </c>
      <c r="J85" s="39" t="inlineStr">
        <is>
          <t>6mm Both-Face
Melamine MR MDF Sheet</t>
        </is>
      </c>
      <c r="K85" s="39" t="inlineStr">
        <is>
          <t>9mm Both-Face
Melamine MR MDF Sheet</t>
        </is>
      </c>
      <c r="L85" s="39" t="inlineStr">
        <is>
          <t>12mm Both-Face
Melamine MR MDF Sheet</t>
        </is>
      </c>
      <c r="M85" s="39" t="inlineStr">
        <is>
          <t>18mm Both-Face
Melamine MR MDF Sheet</t>
        </is>
      </c>
      <c r="N85" s="39" t="inlineStr">
        <is>
          <t>18mm Plain
MR MDF Sheet</t>
        </is>
      </c>
      <c r="O85" s="39" t="inlineStr">
        <is>
          <t>Plywood</t>
        </is>
      </c>
      <c r="P85" s="39" t="inlineStr">
        <is>
          <t>25mm Plain MR MDF</t>
        </is>
      </c>
      <c r="Q85" s="39" t="inlineStr">
        <is>
          <t>PL-01
Laminate (0.8mm)</t>
        </is>
      </c>
      <c r="R85" s="39" t="inlineStr">
        <is>
          <t>Full Overlay
Hinges</t>
        </is>
      </c>
      <c r="S85" s="39" t="inlineStr">
        <is>
          <t>Drawer Runner
(0.5m)</t>
        </is>
      </c>
      <c r="T85" s="39" t="inlineStr">
        <is>
          <t>PVC Lipping 25mm</t>
        </is>
      </c>
      <c r="U85" s="39" t="inlineStr">
        <is>
          <t>PVC Lipping 18mm</t>
        </is>
      </c>
      <c r="V85" s="40" t="n"/>
      <c r="W85" s="40" t="n"/>
      <c r="X85" s="39" t="inlineStr">
        <is>
          <t>Remarks</t>
        </is>
      </c>
    </row>
    <row r="86" ht="28" customHeight="1">
      <c r="A86" s="41" t="n"/>
      <c r="B86" s="41" t="n"/>
      <c r="C86" s="42" t="inlineStr">
        <is>
          <t>Carcass</t>
        </is>
      </c>
      <c r="D86" s="41" t="n"/>
      <c r="E86" s="41" t="n"/>
      <c r="F86" s="43" t="n">
        <v>1.18</v>
      </c>
      <c r="G86" s="43" t="n">
        <v>0.62</v>
      </c>
      <c r="H86" s="43" t="n">
        <v>0.76</v>
      </c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1" t="n"/>
      <c r="X86" s="41" t="n"/>
    </row>
    <row r="87" ht="18" customHeight="1">
      <c r="B87" s="44" t="inlineStr">
        <is>
          <t>D1</t>
        </is>
      </c>
      <c r="C87" s="45" t="inlineStr">
        <is>
          <t>Back panel</t>
        </is>
      </c>
      <c r="D87" s="46" t="inlineStr">
        <is>
          <t>M²</t>
        </is>
      </c>
      <c r="E87" s="47" t="inlineStr"/>
      <c r="F87" s="48">
        <f>$F$86</f>
        <v/>
      </c>
      <c r="G87" s="49" t="inlineStr"/>
      <c r="H87" s="48">
        <f>$H$86</f>
        <v/>
      </c>
      <c r="I87" s="50">
        <f>IFERROR(F87*H87*IF(E87&lt;&gt;"",E87,1),"")</f>
        <v/>
      </c>
      <c r="J87" s="47" t="n"/>
      <c r="K87" s="51">
        <f>I87</f>
        <v/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52" t="n"/>
      <c r="W87" s="52" t="n"/>
      <c r="X87" s="53" t="inlineStr"/>
    </row>
    <row r="88" ht="18" customHeight="1">
      <c r="B88" s="54" t="inlineStr">
        <is>
          <t>D2</t>
        </is>
      </c>
      <c r="C88" s="55" t="inlineStr">
        <is>
          <t>Bottom panel</t>
        </is>
      </c>
      <c r="D88" s="56" t="inlineStr">
        <is>
          <t>M²</t>
        </is>
      </c>
      <c r="E88" s="57" t="inlineStr"/>
      <c r="F88" s="58">
        <f>$F$86</f>
        <v/>
      </c>
      <c r="G88" s="58">
        <f>$G$86</f>
        <v/>
      </c>
      <c r="H88" s="59" t="inlineStr"/>
      <c r="I88" s="60">
        <f>IFERROR(F88*G88*IF(E88&lt;&gt;"",E88,1),"")</f>
        <v/>
      </c>
      <c r="J88" s="57" t="n"/>
      <c r="K88" s="57" t="n"/>
      <c r="L88" s="57" t="n"/>
      <c r="M88" s="61">
        <f>I88</f>
        <v/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62" t="n"/>
      <c r="W88" s="62" t="n"/>
      <c r="X88" s="63" t="inlineStr"/>
    </row>
    <row r="89" ht="18" customHeight="1">
      <c r="B89" s="44" t="inlineStr">
        <is>
          <t>D3</t>
        </is>
      </c>
      <c r="C89" s="45" t="inlineStr">
        <is>
          <t>Top panel (open top – qty 0)</t>
        </is>
      </c>
      <c r="D89" s="46" t="inlineStr">
        <is>
          <t>M²</t>
        </is>
      </c>
      <c r="E89" s="47" t="inlineStr"/>
      <c r="F89" s="48">
        <f>$F$86</f>
        <v/>
      </c>
      <c r="G89" s="48">
        <f>$G$86</f>
        <v/>
      </c>
      <c r="H89" s="49" t="inlineStr"/>
      <c r="I89" s="50">
        <f>IFERROR(F89*G89*IF(E89&lt;&gt;"",E89,1),"")</f>
        <v/>
      </c>
      <c r="J89" s="47" t="n"/>
      <c r="K89" s="47" t="n"/>
      <c r="L89" s="47" t="n"/>
      <c r="M89" s="51">
        <f>I89</f>
        <v/>
      </c>
      <c r="N89" s="47" t="n"/>
      <c r="O89" s="47" t="n"/>
      <c r="P89" s="47" t="n"/>
      <c r="Q89" s="47" t="n"/>
      <c r="R89" s="47" t="n"/>
      <c r="S89" s="47" t="n"/>
      <c r="T89" s="47" t="n"/>
      <c r="U89" s="47" t="n"/>
      <c r="V89" s="52" t="n"/>
      <c r="W89" s="52" t="n"/>
      <c r="X89" s="53" t="inlineStr">
        <is>
          <t>Open-top configuration; qty = 0</t>
        </is>
      </c>
    </row>
    <row r="90" ht="18" customHeight="1">
      <c r="B90" s="54" t="inlineStr">
        <is>
          <t>D4</t>
        </is>
      </c>
      <c r="C90" s="55" t="inlineStr">
        <is>
          <t>Side panels</t>
        </is>
      </c>
      <c r="D90" s="56" t="inlineStr">
        <is>
          <t>M²</t>
        </is>
      </c>
      <c r="E90" s="64" t="n">
        <v>2</v>
      </c>
      <c r="F90" s="59" t="inlineStr"/>
      <c r="G90" s="58">
        <f>$G$86</f>
        <v/>
      </c>
      <c r="H90" s="58">
        <f>$H$86</f>
        <v/>
      </c>
      <c r="I90" s="60">
        <f>IFERROR(G90*H90*IF(E90&lt;&gt;"",E90,1),"")</f>
        <v/>
      </c>
      <c r="J90" s="57" t="n"/>
      <c r="K90" s="57" t="n"/>
      <c r="L90" s="57" t="n"/>
      <c r="M90" s="61">
        <f>I90</f>
        <v/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62" t="n"/>
      <c r="W90" s="62" t="n"/>
      <c r="X90" s="63" t="inlineStr"/>
    </row>
    <row r="91" ht="18" customHeight="1">
      <c r="B91" s="44" t="inlineStr">
        <is>
          <t>D5</t>
        </is>
      </c>
      <c r="C91" s="45" t="inlineStr">
        <is>
          <t>Internal dividers</t>
        </is>
      </c>
      <c r="D91" s="46" t="inlineStr">
        <is>
          <t>M²</t>
        </is>
      </c>
      <c r="E91" s="65" t="n">
        <v>2</v>
      </c>
      <c r="F91" s="49" t="inlineStr"/>
      <c r="G91" s="48">
        <f>$G$86</f>
        <v/>
      </c>
      <c r="H91" s="48">
        <f>$H$86</f>
        <v/>
      </c>
      <c r="I91" s="50">
        <f>IFERROR(G91*H91*IF(E91&lt;&gt;"",E91,1),"")</f>
        <v/>
      </c>
      <c r="J91" s="47" t="n"/>
      <c r="K91" s="47" t="n"/>
      <c r="L91" s="47" t="n"/>
      <c r="M91" s="51">
        <f>I91</f>
        <v/>
      </c>
      <c r="N91" s="47" t="n"/>
      <c r="O91" s="47" t="n"/>
      <c r="P91" s="47" t="n"/>
      <c r="Q91" s="47" t="n"/>
      <c r="R91" s="47" t="n"/>
      <c r="S91" s="47" t="n"/>
      <c r="T91" s="47" t="n"/>
      <c r="U91" s="47" t="n"/>
      <c r="V91" s="52" t="n"/>
      <c r="W91" s="52" t="n"/>
      <c r="X91" s="53" t="inlineStr"/>
    </row>
    <row r="92" ht="18" customHeight="1">
      <c r="B92" s="54" t="inlineStr">
        <is>
          <t>D6</t>
        </is>
      </c>
      <c r="C92" s="55" t="inlineStr">
        <is>
          <t>Fixed shelves (nil)</t>
        </is>
      </c>
      <c r="D92" s="56" t="inlineStr">
        <is>
          <t>M²</t>
        </is>
      </c>
      <c r="E92" s="57" t="inlineStr"/>
      <c r="F92" s="58">
        <f>$F$86</f>
        <v/>
      </c>
      <c r="G92" s="58">
        <f>$G$86</f>
        <v/>
      </c>
      <c r="H92" s="59" t="inlineStr"/>
      <c r="I92" s="60">
        <f>IFERROR(F92*G92*IF(E92&lt;&gt;"",E92,1),"")</f>
        <v/>
      </c>
      <c r="J92" s="57" t="n"/>
      <c r="K92" s="57" t="n"/>
      <c r="L92" s="57" t="n"/>
      <c r="M92" s="61">
        <f>I92</f>
        <v/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62" t="n"/>
      <c r="W92" s="62" t="n"/>
      <c r="X92" s="63" t="inlineStr">
        <is>
          <t>No fixed shelves</t>
        </is>
      </c>
    </row>
    <row r="93" ht="18" customHeight="1">
      <c r="B93" s="44" t="inlineStr">
        <is>
          <t>D7</t>
        </is>
      </c>
      <c r="C93" s="45" t="inlineStr">
        <is>
          <t>PVC lipping to all exposed edges</t>
        </is>
      </c>
      <c r="D93" s="46" t="inlineStr">
        <is>
          <t>LM</t>
        </is>
      </c>
      <c r="E93" s="47" t="inlineStr"/>
      <c r="F93" s="49" t="inlineStr"/>
      <c r="G93" s="49" t="inlineStr"/>
      <c r="H93" s="49" t="inlineStr"/>
      <c r="I93" s="50">
        <f>IF(E93&lt;&gt;"",E93,0)</f>
        <v/>
      </c>
      <c r="J93" s="47" t="n"/>
      <c r="K93" s="47" t="n"/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52" t="n"/>
      <c r="W93" s="52" t="n"/>
      <c r="X93" s="53" t="inlineStr">
        <is>
          <t>Total per unit: 9.40 lm</t>
        </is>
      </c>
    </row>
    <row r="94" ht="28" customHeight="1">
      <c r="A94" s="41" t="n"/>
      <c r="B94" s="41" t="n"/>
      <c r="C94" s="42" t="inlineStr">
        <is>
          <t>Drawer-A</t>
        </is>
      </c>
      <c r="D94" s="41" t="n"/>
      <c r="E94" s="41" t="n"/>
      <c r="F94" s="43" t="n">
        <v>0.59</v>
      </c>
      <c r="G94" s="43" t="n">
        <v>0.5</v>
      </c>
      <c r="H94" s="43" t="n">
        <v>0.175</v>
      </c>
      <c r="I94" s="41" t="n"/>
      <c r="J94" s="41" t="n"/>
      <c r="K94" s="41" t="n"/>
      <c r="L94" s="41" t="n"/>
      <c r="M94" s="41" t="n"/>
      <c r="N94" s="41" t="n"/>
      <c r="O94" s="41" t="n"/>
      <c r="P94" s="41" t="n"/>
      <c r="Q94" s="41" t="n"/>
      <c r="R94" s="41" t="n"/>
      <c r="S94" s="41" t="n"/>
      <c r="T94" s="41" t="n"/>
      <c r="U94" s="41" t="n"/>
      <c r="V94" s="41" t="n"/>
      <c r="W94" s="41" t="n"/>
      <c r="X94" s="41" t="n"/>
    </row>
    <row r="95" ht="18" customHeight="1">
      <c r="B95" s="54" t="inlineStr">
        <is>
          <t>D8</t>
        </is>
      </c>
      <c r="C95" s="55" t="inlineStr">
        <is>
          <t>Drawer front (shallow)</t>
        </is>
      </c>
      <c r="D95" s="56" t="inlineStr">
        <is>
          <t>M²</t>
        </is>
      </c>
      <c r="E95" s="57" t="inlineStr"/>
      <c r="F95" s="58">
        <f>$F$94</f>
        <v/>
      </c>
      <c r="G95" s="59" t="inlineStr"/>
      <c r="H95" s="58">
        <f>$H$94</f>
        <v/>
      </c>
      <c r="I95" s="60">
        <f>IFERROR(F95*H95*IF(E95&lt;&gt;"",E95,1),"")</f>
        <v/>
      </c>
      <c r="J95" s="57" t="n"/>
      <c r="K95" s="57" t="n"/>
      <c r="L95" s="57" t="n"/>
      <c r="M95" s="61">
        <f>I95</f>
        <v/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62" t="n"/>
      <c r="W95" s="62" t="n"/>
      <c r="X95" s="63" t="inlineStr"/>
    </row>
    <row r="96" ht="18" customHeight="1">
      <c r="B96" s="44" t="inlineStr">
        <is>
          <t>D9</t>
        </is>
      </c>
      <c r="C96" s="45" t="inlineStr">
        <is>
          <t>Drawer sides</t>
        </is>
      </c>
      <c r="D96" s="46" t="inlineStr">
        <is>
          <t>M²</t>
        </is>
      </c>
      <c r="E96" s="65" t="n">
        <v>4</v>
      </c>
      <c r="F96" s="48">
        <f>$F$94</f>
        <v/>
      </c>
      <c r="G96" s="49" t="inlineStr"/>
      <c r="H96" s="48">
        <f>$H$94</f>
        <v/>
      </c>
      <c r="I96" s="50">
        <f>IFERROR(F96*H96*IF(E96&lt;&gt;"",E96,1),"")</f>
        <v/>
      </c>
      <c r="J96" s="47" t="n"/>
      <c r="K96" s="47" t="n"/>
      <c r="L96" s="51">
        <f>I96</f>
        <v/>
      </c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52" t="n"/>
      <c r="W96" s="52" t="n"/>
      <c r="X96" s="53" t="inlineStr"/>
    </row>
    <row r="97" ht="18" customHeight="1">
      <c r="B97" s="54" t="inlineStr">
        <is>
          <t>D10</t>
        </is>
      </c>
      <c r="C97" s="55" t="inlineStr">
        <is>
          <t>Drawer bottom</t>
        </is>
      </c>
      <c r="D97" s="56" t="inlineStr">
        <is>
          <t>M²</t>
        </is>
      </c>
      <c r="E97" s="57" t="inlineStr"/>
      <c r="F97" s="58">
        <f>$F$94</f>
        <v/>
      </c>
      <c r="G97" s="58">
        <f>$G$94</f>
        <v/>
      </c>
      <c r="H97" s="59" t="inlineStr"/>
      <c r="I97" s="60">
        <f>IFERROR(F97*G97*IF(E97&lt;&gt;"",E97,1),"")</f>
        <v/>
      </c>
      <c r="J97" s="61">
        <f>I97</f>
        <v/>
      </c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62" t="n"/>
      <c r="W97" s="62" t="n"/>
      <c r="X97" s="63" t="inlineStr"/>
    </row>
    <row r="98" ht="18" customHeight="1">
      <c r="B98" s="44" t="inlineStr">
        <is>
          <t>D11</t>
        </is>
      </c>
      <c r="C98" s="45" t="inlineStr">
        <is>
          <t>PVC lipping 18mm to drawer front</t>
        </is>
      </c>
      <c r="D98" s="46" t="inlineStr">
        <is>
          <t>LM</t>
        </is>
      </c>
      <c r="E98" s="47" t="inlineStr"/>
      <c r="F98" s="49" t="inlineStr"/>
      <c r="G98" s="49" t="inlineStr"/>
      <c r="H98" s="49" t="inlineStr"/>
      <c r="I98" s="50">
        <f>IF(E98&lt;&gt;"",E98,0)</f>
        <v/>
      </c>
      <c r="J98" s="47" t="n"/>
      <c r="K98" s="47" t="n"/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51">
        <f>I98</f>
        <v/>
      </c>
      <c r="V98" s="52" t="n"/>
      <c r="W98" s="52" t="n"/>
      <c r="X98" s="53" t="inlineStr">
        <is>
          <t>Total per unit: 1.53 lm</t>
        </is>
      </c>
    </row>
    <row r="99" ht="18" customHeight="1">
      <c r="B99" s="54" t="inlineStr">
        <is>
          <t>D12</t>
        </is>
      </c>
      <c r="C99" s="55" t="inlineStr">
        <is>
          <t>PVC lipping 12mm to drawer box</t>
        </is>
      </c>
      <c r="D99" s="56" t="inlineStr">
        <is>
          <t>LM</t>
        </is>
      </c>
      <c r="E99" s="57" t="inlineStr"/>
      <c r="F99" s="59" t="inlineStr"/>
      <c r="G99" s="59" t="inlineStr"/>
      <c r="H99" s="59" t="inlineStr"/>
      <c r="I99" s="60">
        <f>IF(E99&lt;&gt;"",E99,0)</f>
        <v/>
      </c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62" t="n"/>
      <c r="W99" s="62" t="n"/>
      <c r="X99" s="63" t="inlineStr">
        <is>
          <t>Total per unit: 2.18 lm</t>
        </is>
      </c>
    </row>
    <row r="100" ht="28" customHeight="1">
      <c r="A100" s="41" t="n"/>
      <c r="B100" s="41" t="n"/>
      <c r="C100" s="42" t="inlineStr">
        <is>
          <t>Drawer-B</t>
        </is>
      </c>
      <c r="D100" s="41" t="n"/>
      <c r="E100" s="41" t="n"/>
      <c r="F100" s="43" t="n">
        <v>0.59</v>
      </c>
      <c r="G100" s="43" t="n">
        <v>0.5</v>
      </c>
      <c r="H100" s="43" t="n">
        <v>0.375</v>
      </c>
      <c r="I100" s="41" t="n"/>
      <c r="J100" s="41" t="n"/>
      <c r="K100" s="41" t="n"/>
      <c r="L100" s="41" t="n"/>
      <c r="M100" s="41" t="n"/>
      <c r="N100" s="41" t="n"/>
      <c r="O100" s="41" t="n"/>
      <c r="P100" s="41" t="n"/>
      <c r="Q100" s="41" t="n"/>
      <c r="R100" s="41" t="n"/>
      <c r="S100" s="41" t="n"/>
      <c r="T100" s="41" t="n"/>
      <c r="U100" s="41" t="n"/>
      <c r="V100" s="41" t="n"/>
      <c r="W100" s="41" t="n"/>
      <c r="X100" s="41" t="n"/>
    </row>
    <row r="101" ht="18" customHeight="1">
      <c r="B101" s="44" t="inlineStr">
        <is>
          <t>D13</t>
        </is>
      </c>
      <c r="C101" s="45" t="inlineStr">
        <is>
          <t>Drawer front (deep)</t>
        </is>
      </c>
      <c r="D101" s="46" t="inlineStr">
        <is>
          <t>M²</t>
        </is>
      </c>
      <c r="E101" s="47" t="inlineStr"/>
      <c r="F101" s="48">
        <f>$F$100</f>
        <v/>
      </c>
      <c r="G101" s="49" t="inlineStr"/>
      <c r="H101" s="48">
        <f>$H$100</f>
        <v/>
      </c>
      <c r="I101" s="50">
        <f>IFERROR(F101*H101*IF(E101&lt;&gt;"",E101,1),"")</f>
        <v/>
      </c>
      <c r="J101" s="47" t="n"/>
      <c r="K101" s="47" t="n"/>
      <c r="L101" s="47" t="n"/>
      <c r="M101" s="51">
        <f>I101</f>
        <v/>
      </c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52" t="n"/>
      <c r="W101" s="52" t="n"/>
      <c r="X101" s="53" t="inlineStr"/>
    </row>
    <row r="102" ht="18" customHeight="1">
      <c r="B102" s="54" t="inlineStr">
        <is>
          <t>D14</t>
        </is>
      </c>
      <c r="C102" s="55" t="inlineStr">
        <is>
          <t>Drawer sides</t>
        </is>
      </c>
      <c r="D102" s="56" t="inlineStr">
        <is>
          <t>M²</t>
        </is>
      </c>
      <c r="E102" s="64" t="n">
        <v>4</v>
      </c>
      <c r="F102" s="58">
        <f>$F$100</f>
        <v/>
      </c>
      <c r="G102" s="59" t="inlineStr"/>
      <c r="H102" s="58">
        <f>$H$100</f>
        <v/>
      </c>
      <c r="I102" s="60">
        <f>IFERROR(F102*H102*IF(E102&lt;&gt;"",E102,1),"")</f>
        <v/>
      </c>
      <c r="J102" s="57" t="n"/>
      <c r="K102" s="57" t="n"/>
      <c r="L102" s="61">
        <f>I102</f>
        <v/>
      </c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62" t="n"/>
      <c r="W102" s="62" t="n"/>
      <c r="X102" s="63" t="inlineStr"/>
    </row>
    <row r="103" ht="18" customHeight="1">
      <c r="B103" s="44" t="inlineStr">
        <is>
          <t>D15</t>
        </is>
      </c>
      <c r="C103" s="45" t="inlineStr">
        <is>
          <t>Drawer bottom</t>
        </is>
      </c>
      <c r="D103" s="46" t="inlineStr">
        <is>
          <t>M²</t>
        </is>
      </c>
      <c r="E103" s="47" t="inlineStr"/>
      <c r="F103" s="48">
        <f>$F$100</f>
        <v/>
      </c>
      <c r="G103" s="48">
        <f>$G$100</f>
        <v/>
      </c>
      <c r="H103" s="49" t="inlineStr"/>
      <c r="I103" s="50">
        <f>IFERROR(F103*G103*IF(E103&lt;&gt;"",E103,1),"")</f>
        <v/>
      </c>
      <c r="J103" s="51">
        <f>I103</f>
        <v/>
      </c>
      <c r="K103" s="47" t="n"/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52" t="n"/>
      <c r="W103" s="52" t="n"/>
      <c r="X103" s="53" t="inlineStr"/>
    </row>
    <row r="104" ht="18" customHeight="1">
      <c r="B104" s="54" t="inlineStr">
        <is>
          <t>D16</t>
        </is>
      </c>
      <c r="C104" s="55" t="inlineStr">
        <is>
          <t>PVC lipping 18mm to drawer front</t>
        </is>
      </c>
      <c r="D104" s="56" t="inlineStr">
        <is>
          <t>LM</t>
        </is>
      </c>
      <c r="E104" s="57" t="inlineStr"/>
      <c r="F104" s="59" t="inlineStr"/>
      <c r="G104" s="59" t="inlineStr"/>
      <c r="H104" s="59" t="inlineStr"/>
      <c r="I104" s="60">
        <f>IF(E104&lt;&gt;"",E104,0)</f>
        <v/>
      </c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61">
        <f>I104</f>
        <v/>
      </c>
      <c r="V104" s="62" t="n"/>
      <c r="W104" s="62" t="n"/>
      <c r="X104" s="63" t="inlineStr">
        <is>
          <t>Total per unit: 1.93 lm</t>
        </is>
      </c>
    </row>
    <row r="105" ht="18" customHeight="1">
      <c r="B105" s="44" t="inlineStr">
        <is>
          <t>D17</t>
        </is>
      </c>
      <c r="C105" s="45" t="inlineStr">
        <is>
          <t>PVC lipping 12mm to drawer box</t>
        </is>
      </c>
      <c r="D105" s="46" t="inlineStr">
        <is>
          <t>LM</t>
        </is>
      </c>
      <c r="E105" s="47" t="inlineStr"/>
      <c r="F105" s="49" t="inlineStr"/>
      <c r="G105" s="49" t="inlineStr"/>
      <c r="H105" s="49" t="inlineStr"/>
      <c r="I105" s="50">
        <f>IF(E105&lt;&gt;"",E105,0)</f>
        <v/>
      </c>
      <c r="J105" s="47" t="n"/>
      <c r="K105" s="47" t="n"/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52" t="n"/>
      <c r="W105" s="52" t="n"/>
      <c r="X105" s="53" t="inlineStr">
        <is>
          <t>Total per unit: 2.18 lm</t>
        </is>
      </c>
    </row>
    <row r="106" ht="28" customHeight="1">
      <c r="A106" s="41" t="n"/>
      <c r="B106" s="41" t="n"/>
      <c r="C106" s="42" t="inlineStr">
        <is>
          <t>Shutter</t>
        </is>
      </c>
      <c r="D106" s="41" t="n"/>
      <c r="E106" s="41" t="n"/>
      <c r="F106" s="43" t="n">
        <v>1.18</v>
      </c>
      <c r="G106" s="67" t="inlineStr">
        <is>
          <t>—</t>
        </is>
      </c>
      <c r="H106" s="43" t="n">
        <v>0.76</v>
      </c>
      <c r="I106" s="41" t="n"/>
      <c r="J106" s="41" t="n"/>
      <c r="K106" s="41" t="n"/>
      <c r="L106" s="41" t="n"/>
      <c r="M106" s="41" t="n"/>
      <c r="N106" s="41" t="n"/>
      <c r="O106" s="41" t="n"/>
      <c r="P106" s="41" t="n"/>
      <c r="Q106" s="41" t="n"/>
      <c r="R106" s="41" t="n"/>
      <c r="S106" s="41" t="n"/>
      <c r="T106" s="41" t="n"/>
      <c r="U106" s="41" t="n"/>
      <c r="V106" s="41" t="n"/>
      <c r="W106" s="41" t="n"/>
      <c r="X106" s="41" t="n"/>
    </row>
    <row r="107" ht="18" customHeight="1">
      <c r="B107" s="54" t="inlineStr">
        <is>
          <t>D18</t>
        </is>
      </c>
      <c r="C107" s="55" t="inlineStr">
        <is>
          <t>Plain shutter panel</t>
        </is>
      </c>
      <c r="D107" s="56" t="inlineStr">
        <is>
          <t>M²</t>
        </is>
      </c>
      <c r="E107" s="57" t="inlineStr"/>
      <c r="F107" s="58">
        <f>$F$106</f>
        <v/>
      </c>
      <c r="G107" s="59" t="inlineStr"/>
      <c r="H107" s="58">
        <f>$H$106</f>
        <v/>
      </c>
      <c r="I107" s="60">
        <f>IFERROR(F107*H107*IF(E107&lt;&gt;"",E107,1),"")</f>
        <v/>
      </c>
      <c r="J107" s="57" t="n"/>
      <c r="K107" s="57" t="n"/>
      <c r="L107" s="57" t="n"/>
      <c r="M107" s="57" t="n"/>
      <c r="N107" s="61">
        <f>I107</f>
        <v/>
      </c>
      <c r="O107" s="57" t="n"/>
      <c r="P107" s="57" t="n"/>
      <c r="Q107" s="57" t="n"/>
      <c r="R107" s="57" t="n"/>
      <c r="S107" s="57" t="n"/>
      <c r="T107" s="57" t="n"/>
      <c r="U107" s="57" t="n"/>
      <c r="V107" s="62" t="n"/>
      <c r="W107" s="62" t="n"/>
      <c r="X107" s="63" t="inlineStr">
        <is>
          <t>Laminate PL-01 both faces = 1.794 m²</t>
        </is>
      </c>
    </row>
    <row r="108" ht="18" customHeight="1">
      <c r="B108" s="44" t="inlineStr">
        <is>
          <t>D19</t>
        </is>
      </c>
      <c r="C108" s="45" t="inlineStr">
        <is>
          <t>PVC lipping to shutter edges</t>
        </is>
      </c>
      <c r="D108" s="46" t="inlineStr">
        <is>
          <t>LM</t>
        </is>
      </c>
      <c r="E108" s="47" t="inlineStr"/>
      <c r="F108" s="49" t="inlineStr"/>
      <c r="G108" s="49" t="inlineStr"/>
      <c r="H108" s="49" t="inlineStr"/>
      <c r="I108" s="50">
        <f>IF(E108&lt;&gt;"",E108,0)</f>
        <v/>
      </c>
      <c r="J108" s="47" t="n"/>
      <c r="K108" s="47" t="n"/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52" t="n"/>
      <c r="W108" s="52" t="n"/>
      <c r="X108" s="53" t="inlineStr">
        <is>
          <t>Total per unit: 3.88 lm</t>
        </is>
      </c>
    </row>
    <row r="109" ht="28" customHeight="1">
      <c r="A109" s="41" t="n"/>
      <c r="B109" s="41" t="n"/>
      <c r="C109" s="42" t="inlineStr">
        <is>
          <t>Counter Substrate</t>
        </is>
      </c>
      <c r="D109" s="41" t="n"/>
      <c r="E109" s="41" t="n"/>
      <c r="F109" s="43" t="n">
        <v>1.18</v>
      </c>
      <c r="G109" s="43" t="n">
        <v>0.62</v>
      </c>
      <c r="H109" s="67" t="inlineStr">
        <is>
          <t>—</t>
        </is>
      </c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  <c r="R109" s="41" t="n"/>
      <c r="S109" s="41" t="n"/>
      <c r="T109" s="41" t="n"/>
      <c r="U109" s="41" t="n"/>
      <c r="V109" s="41" t="n"/>
      <c r="W109" s="41" t="n"/>
      <c r="X109" s="41" t="n"/>
    </row>
    <row r="110" ht="18" customHeight="1">
      <c r="B110" s="54" t="inlineStr">
        <is>
          <t>D20</t>
        </is>
      </c>
      <c r="C110" s="55" t="inlineStr">
        <is>
          <t>Plywood base to countertop</t>
        </is>
      </c>
      <c r="D110" s="56" t="inlineStr">
        <is>
          <t>M²</t>
        </is>
      </c>
      <c r="E110" s="57" t="inlineStr"/>
      <c r="F110" s="58">
        <f>$F$109</f>
        <v/>
      </c>
      <c r="G110" s="58">
        <f>$G$109</f>
        <v/>
      </c>
      <c r="H110" s="59" t="inlineStr"/>
      <c r="I110" s="60">
        <f>IFERROR(F110*G110*IF(E110&lt;&gt;"",E110,1),"")</f>
        <v/>
      </c>
      <c r="J110" s="57" t="n"/>
      <c r="K110" s="57" t="n"/>
      <c r="L110" s="57" t="n"/>
      <c r="M110" s="57" t="n"/>
      <c r="N110" s="57" t="n"/>
      <c r="O110" s="61">
        <f>I110</f>
        <v/>
      </c>
      <c r="P110" s="57" t="n"/>
      <c r="Q110" s="57" t="n"/>
      <c r="R110" s="57" t="n"/>
      <c r="S110" s="57" t="n"/>
      <c r="T110" s="57" t="n"/>
      <c r="U110" s="57" t="n"/>
      <c r="V110" s="62" t="n"/>
      <c r="W110" s="62" t="n"/>
      <c r="X110" s="63" t="inlineStr"/>
    </row>
    <row r="111" ht="28" customHeight="1">
      <c r="A111" s="41" t="n"/>
      <c r="B111" s="41" t="n"/>
      <c r="C111" s="42" t="inlineStr">
        <is>
          <t>Hardware</t>
        </is>
      </c>
      <c r="D111" s="41" t="n"/>
      <c r="E111" s="41" t="n"/>
      <c r="F111" s="67" t="inlineStr">
        <is>
          <t>—</t>
        </is>
      </c>
      <c r="G111" s="67" t="inlineStr">
        <is>
          <t>—</t>
        </is>
      </c>
      <c r="H111" s="67" t="inlineStr">
        <is>
          <t>—</t>
        </is>
      </c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  <c r="R111" s="41" t="n"/>
      <c r="S111" s="41" t="n"/>
      <c r="T111" s="41" t="n"/>
      <c r="U111" s="41" t="n"/>
      <c r="V111" s="41" t="n"/>
      <c r="W111" s="41" t="n"/>
      <c r="X111" s="41" t="n"/>
    </row>
    <row r="112" ht="18" customHeight="1">
      <c r="B112" s="44" t="inlineStr">
        <is>
          <t>D21</t>
        </is>
      </c>
      <c r="C112" s="45" t="inlineStr">
        <is>
          <t>Full overlay soft-close hinges</t>
        </is>
      </c>
      <c r="D112" s="46" t="inlineStr">
        <is>
          <t>Nr</t>
        </is>
      </c>
      <c r="E112" s="47" t="inlineStr"/>
      <c r="F112" s="49" t="inlineStr"/>
      <c r="G112" s="49" t="inlineStr"/>
      <c r="H112" s="49" t="inlineStr"/>
      <c r="I112" s="50">
        <f>IF(E112&lt;&gt;"",E112,0)</f>
        <v/>
      </c>
      <c r="J112" s="47" t="n"/>
      <c r="K112" s="47" t="n"/>
      <c r="L112" s="47" t="n"/>
      <c r="M112" s="47" t="n"/>
      <c r="N112" s="47" t="n"/>
      <c r="O112" s="47" t="n"/>
      <c r="P112" s="47" t="n"/>
      <c r="Q112" s="47" t="n"/>
      <c r="R112" s="51">
        <f>I112</f>
        <v/>
      </c>
      <c r="S112" s="47" t="n"/>
      <c r="T112" s="47" t="n"/>
      <c r="U112" s="47" t="n"/>
      <c r="V112" s="52" t="n"/>
      <c r="W112" s="52" t="n"/>
      <c r="X112" s="53" t="inlineStr"/>
    </row>
    <row r="113" ht="18" customHeight="1">
      <c r="B113" s="54" t="inlineStr">
        <is>
          <t>D22</t>
        </is>
      </c>
      <c r="C113" s="55" t="inlineStr">
        <is>
          <t>Soft-close full-extension drawer runners</t>
        </is>
      </c>
      <c r="D113" s="56" t="inlineStr">
        <is>
          <t>Pr</t>
        </is>
      </c>
      <c r="E113" s="57" t="inlineStr"/>
      <c r="F113" s="59" t="inlineStr"/>
      <c r="G113" s="59" t="inlineStr"/>
      <c r="H113" s="59" t="inlineStr"/>
      <c r="I113" s="60">
        <f>IF(E113&lt;&gt;"",E113,0)</f>
        <v/>
      </c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61">
        <f>I113</f>
        <v/>
      </c>
      <c r="T113" s="57" t="n"/>
      <c r="U113" s="57" t="n"/>
      <c r="V113" s="62" t="n"/>
      <c r="W113" s="62" t="n"/>
      <c r="X113" s="63" t="inlineStr"/>
    </row>
    <row r="114" ht="18" customHeight="1">
      <c r="B114" s="44" t="inlineStr">
        <is>
          <t>D23</t>
        </is>
      </c>
      <c r="C114" s="45" t="inlineStr">
        <is>
          <t>Ball catcher / magnetic catch</t>
        </is>
      </c>
      <c r="D114" s="46" t="inlineStr">
        <is>
          <t>Nr</t>
        </is>
      </c>
      <c r="E114" s="47" t="inlineStr"/>
      <c r="F114" s="49" t="inlineStr"/>
      <c r="G114" s="49" t="inlineStr"/>
      <c r="H114" s="49" t="inlineStr"/>
      <c r="I114" s="50">
        <f>IF(E114&lt;&gt;"",E114,0)</f>
        <v/>
      </c>
      <c r="J114" s="47" t="n"/>
      <c r="K114" s="47" t="n"/>
      <c r="L114" s="47" t="n"/>
      <c r="M114" s="47" t="n"/>
      <c r="N114" s="47" t="n"/>
      <c r="O114" s="47" t="n"/>
      <c r="P114" s="47" t="n"/>
      <c r="Q114" s="47" t="n"/>
      <c r="R114" s="51">
        <f>I114</f>
        <v/>
      </c>
      <c r="S114" s="47" t="n"/>
      <c r="T114" s="47" t="n"/>
      <c r="U114" s="47" t="n"/>
      <c r="V114" s="52" t="n"/>
      <c r="W114" s="52" t="n"/>
      <c r="X114" s="53" t="inlineStr"/>
    </row>
    <row r="115" ht="18" customHeight="1">
      <c r="B115" s="54" t="inlineStr">
        <is>
          <t>D24</t>
        </is>
      </c>
      <c r="C115" s="55" t="inlineStr">
        <is>
          <t>Aluminium skirting to base of unit</t>
        </is>
      </c>
      <c r="D115" s="56" t="inlineStr">
        <is>
          <t>LM</t>
        </is>
      </c>
      <c r="E115" s="57" t="inlineStr"/>
      <c r="F115" s="59" t="inlineStr"/>
      <c r="G115" s="59" t="inlineStr"/>
      <c r="H115" s="59" t="inlineStr"/>
      <c r="I115" s="60">
        <f>IF(E115&lt;&gt;"",E115,0)</f>
        <v/>
      </c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62" t="n"/>
      <c r="W115" s="62" t="n"/>
      <c r="X115" s="63" t="inlineStr">
        <is>
          <t>Total per unit: 1.18 lm</t>
        </is>
      </c>
    </row>
    <row r="116" ht="20" customHeight="1">
      <c r="I116" s="68" t="inlineStr">
        <is>
          <t>Per Unit</t>
        </is>
      </c>
      <c r="J116" s="69">
        <f>SUM(J86:J115)</f>
        <v/>
      </c>
      <c r="K116" s="69">
        <f>SUM(K86:K115)</f>
        <v/>
      </c>
      <c r="L116" s="69">
        <f>SUM(L86:L115)</f>
        <v/>
      </c>
      <c r="M116" s="69">
        <f>SUM(M86:M115)</f>
        <v/>
      </c>
      <c r="N116" s="69">
        <f>SUM(N86:N115)</f>
        <v/>
      </c>
      <c r="O116" s="69">
        <f>SUM(O86:O115)</f>
        <v/>
      </c>
      <c r="P116" s="69">
        <f>SUM(P86:P115)</f>
        <v/>
      </c>
      <c r="Q116" s="69">
        <f>SUM(Q86:Q115)</f>
        <v/>
      </c>
      <c r="R116" s="69">
        <f>SUM(R86:R115)</f>
        <v/>
      </c>
      <c r="S116" s="69">
        <f>SUM(S86:S115)</f>
        <v/>
      </c>
      <c r="T116" s="69">
        <f>SUM(T86:T115)</f>
        <v/>
      </c>
      <c r="U116" s="69">
        <f>SUM(U86:U115)</f>
        <v/>
      </c>
    </row>
    <row r="117" ht="22" customHeight="1">
      <c r="H117" s="70">
        <f>H2</f>
        <v/>
      </c>
      <c r="I117" s="71" t="inlineStr">
        <is>
          <t>Total Unit</t>
        </is>
      </c>
      <c r="J117" s="72">
        <f>J116*H2/2.88</f>
        <v/>
      </c>
      <c r="K117" s="72">
        <f>K116*H2/2.88</f>
        <v/>
      </c>
      <c r="L117" s="72">
        <f>L116*H2/2.88</f>
        <v/>
      </c>
      <c r="M117" s="72">
        <f>M116*H2/2.88</f>
        <v/>
      </c>
      <c r="N117" s="72">
        <f>N116*H2/2.88</f>
        <v/>
      </c>
      <c r="O117" s="72">
        <f>O116*H2/2.88</f>
        <v/>
      </c>
      <c r="P117" s="72">
        <f>P116*H2/2.88</f>
        <v/>
      </c>
      <c r="Q117" s="72">
        <f>Q116*H2/2.88</f>
        <v/>
      </c>
      <c r="R117" s="72">
        <f>R116*H2</f>
        <v/>
      </c>
      <c r="S117" s="72">
        <f>S116*H2</f>
        <v/>
      </c>
      <c r="T117" s="72">
        <f>T116*H2/2.88</f>
        <v/>
      </c>
      <c r="U117" s="72">
        <f>U116*H2/2.88</f>
        <v/>
      </c>
    </row>
    <row r="118" ht="10" customHeight="1"/>
    <row r="119" ht="32" customHeight="1">
      <c r="A119" s="35" t="n"/>
      <c r="B119" s="36" t="inlineStr">
        <is>
          <t xml:space="preserve">  E  </t>
        </is>
      </c>
      <c r="C119" s="37" t="inlineStr">
        <is>
          <t>SECTION</t>
        </is>
      </c>
      <c r="D119" s="35" t="n"/>
      <c r="E119" s="35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8" t="inlineStr">
        <is>
          <t>Unit overall dimensions: L 1.15m × W 0.57m × H 0.80m. No drawers in this unit.</t>
        </is>
      </c>
    </row>
    <row r="120" ht="60" customHeight="1">
      <c r="A120" s="39" t="inlineStr"/>
      <c r="B120" s="39" t="inlineStr">
        <is>
          <t>S.No</t>
        </is>
      </c>
      <c r="C120" s="39" t="inlineStr">
        <is>
          <t>Description</t>
        </is>
      </c>
      <c r="D120" s="39" t="inlineStr">
        <is>
          <t>Unit</t>
        </is>
      </c>
      <c r="E120" s="39" t="inlineStr">
        <is>
          <t>Times</t>
        </is>
      </c>
      <c r="F120" s="39" t="inlineStr">
        <is>
          <t>L</t>
        </is>
      </c>
      <c r="G120" s="39" t="inlineStr">
        <is>
          <t>W</t>
        </is>
      </c>
      <c r="H120" s="39" t="inlineStr">
        <is>
          <t>H</t>
        </is>
      </c>
      <c r="I120" s="39" t="inlineStr">
        <is>
          <t>Total QTY</t>
        </is>
      </c>
      <c r="J120" s="39" t="inlineStr">
        <is>
          <t>6mm Both-Face
Melamine MR MDF Sheet</t>
        </is>
      </c>
      <c r="K120" s="39" t="inlineStr">
        <is>
          <t>9mm Both-Face
Melamine MR MDF Sheet</t>
        </is>
      </c>
      <c r="L120" s="39" t="inlineStr">
        <is>
          <t>12mm Both-Face
Melamine MR MDF Sheet</t>
        </is>
      </c>
      <c r="M120" s="39" t="inlineStr">
        <is>
          <t>18mm Both-Face
Melamine MR MDF Sheet</t>
        </is>
      </c>
      <c r="N120" s="39" t="inlineStr">
        <is>
          <t>18mm Plain
MR MDF Sheet</t>
        </is>
      </c>
      <c r="O120" s="39" t="inlineStr">
        <is>
          <t>Plywood</t>
        </is>
      </c>
      <c r="P120" s="39" t="inlineStr">
        <is>
          <t>25mm Plain MR MDF</t>
        </is>
      </c>
      <c r="Q120" s="39" t="inlineStr">
        <is>
          <t>PL-01
Laminate (0.8mm)</t>
        </is>
      </c>
      <c r="R120" s="39" t="inlineStr">
        <is>
          <t>Full Overlay
Hinges</t>
        </is>
      </c>
      <c r="S120" s="39" t="inlineStr">
        <is>
          <t>Drawer Runner
(0.5m)</t>
        </is>
      </c>
      <c r="T120" s="39" t="inlineStr">
        <is>
          <t>PVC Lipping 25mm</t>
        </is>
      </c>
      <c r="U120" s="39" t="inlineStr">
        <is>
          <t>PVC Lipping 18mm</t>
        </is>
      </c>
      <c r="V120" s="40" t="n"/>
      <c r="W120" s="40" t="n"/>
      <c r="X120" s="39" t="inlineStr">
        <is>
          <t>Remarks</t>
        </is>
      </c>
    </row>
    <row r="121" ht="28" customHeight="1">
      <c r="A121" s="41" t="n"/>
      <c r="B121" s="41" t="n"/>
      <c r="C121" s="42" t="inlineStr">
        <is>
          <t>Carcass</t>
        </is>
      </c>
      <c r="D121" s="41" t="n"/>
      <c r="E121" s="41" t="n"/>
      <c r="F121" s="43" t="n">
        <v>1.15</v>
      </c>
      <c r="G121" s="43" t="n">
        <v>0.57</v>
      </c>
      <c r="H121" s="43" t="n">
        <v>0.8</v>
      </c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  <c r="R121" s="41" t="n"/>
      <c r="S121" s="41" t="n"/>
      <c r="T121" s="41" t="n"/>
      <c r="U121" s="41" t="n"/>
      <c r="V121" s="41" t="n"/>
      <c r="W121" s="41" t="n"/>
      <c r="X121" s="41" t="n"/>
    </row>
    <row r="122" ht="18" customHeight="1">
      <c r="B122" s="44" t="inlineStr">
        <is>
          <t>E1</t>
        </is>
      </c>
      <c r="C122" s="45" t="inlineStr">
        <is>
          <t>Back panel</t>
        </is>
      </c>
      <c r="D122" s="46" t="inlineStr">
        <is>
          <t>M²</t>
        </is>
      </c>
      <c r="E122" s="47" t="inlineStr"/>
      <c r="F122" s="48">
        <f>$F$121</f>
        <v/>
      </c>
      <c r="G122" s="49" t="inlineStr"/>
      <c r="H122" s="48">
        <f>$H$121</f>
        <v/>
      </c>
      <c r="I122" s="50">
        <f>IFERROR(F122*H122*IF(E122&lt;&gt;"",E122,1),"")</f>
        <v/>
      </c>
      <c r="J122" s="47" t="n"/>
      <c r="K122" s="51">
        <f>I122</f>
        <v/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52" t="n"/>
      <c r="W122" s="52" t="n"/>
      <c r="X122" s="53" t="inlineStr"/>
    </row>
    <row r="123" ht="18" customHeight="1">
      <c r="B123" s="54" t="inlineStr">
        <is>
          <t>E2</t>
        </is>
      </c>
      <c r="C123" s="55" t="inlineStr">
        <is>
          <t>Bottom panel</t>
        </is>
      </c>
      <c r="D123" s="56" t="inlineStr">
        <is>
          <t>M²</t>
        </is>
      </c>
      <c r="E123" s="57" t="inlineStr"/>
      <c r="F123" s="58">
        <f>$F$121</f>
        <v/>
      </c>
      <c r="G123" s="58">
        <f>$G$121</f>
        <v/>
      </c>
      <c r="H123" s="59" t="inlineStr"/>
      <c r="I123" s="60">
        <f>IFERROR(F123*G123*IF(E123&lt;&gt;"",E123,1),"")</f>
        <v/>
      </c>
      <c r="J123" s="57" t="n"/>
      <c r="K123" s="57" t="n"/>
      <c r="L123" s="57" t="n"/>
      <c r="M123" s="61">
        <f>I123</f>
        <v/>
      </c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62" t="n"/>
      <c r="W123" s="62" t="n"/>
      <c r="X123" s="63" t="inlineStr"/>
    </row>
    <row r="124" ht="18" customHeight="1">
      <c r="B124" s="44" t="inlineStr">
        <is>
          <t>E3</t>
        </is>
      </c>
      <c r="C124" s="45" t="inlineStr">
        <is>
          <t>Top panel</t>
        </is>
      </c>
      <c r="D124" s="46" t="inlineStr">
        <is>
          <t>M²</t>
        </is>
      </c>
      <c r="E124" s="47" t="inlineStr"/>
      <c r="F124" s="48">
        <f>$F$121</f>
        <v/>
      </c>
      <c r="G124" s="48">
        <f>$G$121</f>
        <v/>
      </c>
      <c r="H124" s="49" t="inlineStr"/>
      <c r="I124" s="50">
        <f>IFERROR(F124*G124*IF(E124&lt;&gt;"",E124,1),"")</f>
        <v/>
      </c>
      <c r="J124" s="47" t="n"/>
      <c r="K124" s="47" t="n"/>
      <c r="L124" s="47" t="n"/>
      <c r="M124" s="51">
        <f>I124</f>
        <v/>
      </c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52" t="n"/>
      <c r="W124" s="52" t="n"/>
      <c r="X124" s="53" t="inlineStr">
        <is>
          <t>Qty not confirmed – confirm with design</t>
        </is>
      </c>
    </row>
    <row r="125" ht="18" customHeight="1">
      <c r="B125" s="54" t="inlineStr">
        <is>
          <t>E4</t>
        </is>
      </c>
      <c r="C125" s="55" t="inlineStr">
        <is>
          <t>Side panels</t>
        </is>
      </c>
      <c r="D125" s="56" t="inlineStr">
        <is>
          <t>M²</t>
        </is>
      </c>
      <c r="E125" s="64" t="n">
        <v>2</v>
      </c>
      <c r="F125" s="59" t="inlineStr"/>
      <c r="G125" s="58">
        <f>$G$121</f>
        <v/>
      </c>
      <c r="H125" s="58">
        <f>$H$121</f>
        <v/>
      </c>
      <c r="I125" s="60">
        <f>IFERROR(G125*H125*IF(E125&lt;&gt;"",E125,1),"")</f>
        <v/>
      </c>
      <c r="J125" s="57" t="n"/>
      <c r="K125" s="57" t="n"/>
      <c r="L125" s="57" t="n"/>
      <c r="M125" s="61">
        <f>I125</f>
        <v/>
      </c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62" t="n"/>
      <c r="W125" s="62" t="n"/>
      <c r="X125" s="63" t="inlineStr"/>
    </row>
    <row r="126" ht="18" customHeight="1">
      <c r="B126" s="44" t="inlineStr">
        <is>
          <t>E5</t>
        </is>
      </c>
      <c r="C126" s="45" t="inlineStr">
        <is>
          <t>Internal dividers (nil)</t>
        </is>
      </c>
      <c r="D126" s="46" t="inlineStr">
        <is>
          <t>M²</t>
        </is>
      </c>
      <c r="E126" s="47" t="inlineStr"/>
      <c r="F126" s="49" t="inlineStr"/>
      <c r="G126" s="48">
        <f>$G$121</f>
        <v/>
      </c>
      <c r="H126" s="48">
        <f>$H$121</f>
        <v/>
      </c>
      <c r="I126" s="50">
        <f>IFERROR(G126*H126*IF(E126&lt;&gt;"",E126,1),"")</f>
        <v/>
      </c>
      <c r="J126" s="47" t="n"/>
      <c r="K126" s="47" t="n"/>
      <c r="L126" s="47" t="n"/>
      <c r="M126" s="51">
        <f>I126</f>
        <v/>
      </c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52" t="n"/>
      <c r="W126" s="52" t="n"/>
      <c r="X126" s="53" t="inlineStr"/>
    </row>
    <row r="127" ht="18" customHeight="1">
      <c r="B127" s="54" t="inlineStr">
        <is>
          <t>E6</t>
        </is>
      </c>
      <c r="C127" s="55" t="inlineStr">
        <is>
          <t>Fixed shelves (nil)</t>
        </is>
      </c>
      <c r="D127" s="56" t="inlineStr">
        <is>
          <t>M²</t>
        </is>
      </c>
      <c r="E127" s="57" t="inlineStr"/>
      <c r="F127" s="58">
        <f>$F$121</f>
        <v/>
      </c>
      <c r="G127" s="58">
        <f>$G$121</f>
        <v/>
      </c>
      <c r="H127" s="59" t="inlineStr"/>
      <c r="I127" s="60">
        <f>IFERROR(F127*G127*IF(E127&lt;&gt;"",E127,1),"")</f>
        <v/>
      </c>
      <c r="J127" s="57" t="n"/>
      <c r="K127" s="57" t="n"/>
      <c r="L127" s="57" t="n"/>
      <c r="M127" s="61">
        <f>I127</f>
        <v/>
      </c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62" t="n"/>
      <c r="W127" s="62" t="n"/>
      <c r="X127" s="63" t="inlineStr"/>
    </row>
    <row r="128" ht="18" customHeight="1">
      <c r="B128" s="44" t="inlineStr">
        <is>
          <t>E7</t>
        </is>
      </c>
      <c r="C128" s="45" t="inlineStr">
        <is>
          <t>PVC lipping to all exposed edges</t>
        </is>
      </c>
      <c r="D128" s="46" t="inlineStr">
        <is>
          <t>LM</t>
        </is>
      </c>
      <c r="E128" s="47" t="inlineStr"/>
      <c r="F128" s="49" t="inlineStr"/>
      <c r="G128" s="49" t="inlineStr"/>
      <c r="H128" s="49" t="inlineStr"/>
      <c r="I128" s="50">
        <f>IF(E128&lt;&gt;"",E128,0)</f>
        <v/>
      </c>
      <c r="J128" s="47" t="n"/>
      <c r="K128" s="47" t="n"/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52" t="n"/>
      <c r="W128" s="52" t="n"/>
      <c r="X128" s="53" t="inlineStr">
        <is>
          <t>Total per unit: 7.78 lm</t>
        </is>
      </c>
    </row>
    <row r="129" ht="28" customHeight="1">
      <c r="A129" s="41" t="n"/>
      <c r="B129" s="41" t="n"/>
      <c r="C129" s="42" t="inlineStr">
        <is>
          <t>Shutter</t>
        </is>
      </c>
      <c r="D129" s="41" t="n"/>
      <c r="E129" s="41" t="n"/>
      <c r="F129" s="43" t="n">
        <v>1.15</v>
      </c>
      <c r="G129" s="67" t="inlineStr">
        <is>
          <t>—</t>
        </is>
      </c>
      <c r="H129" s="43" t="n">
        <v>0.8</v>
      </c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  <c r="R129" s="41" t="n"/>
      <c r="S129" s="41" t="n"/>
      <c r="T129" s="41" t="n"/>
      <c r="U129" s="41" t="n"/>
      <c r="V129" s="41" t="n"/>
      <c r="W129" s="41" t="n"/>
      <c r="X129" s="41" t="n"/>
    </row>
    <row r="130" ht="18" customHeight="1">
      <c r="B130" s="54" t="inlineStr">
        <is>
          <t>E8</t>
        </is>
      </c>
      <c r="C130" s="55" t="inlineStr">
        <is>
          <t>Plain shutter panel</t>
        </is>
      </c>
      <c r="D130" s="56" t="inlineStr">
        <is>
          <t>M²</t>
        </is>
      </c>
      <c r="E130" s="57" t="inlineStr"/>
      <c r="F130" s="58">
        <f>$F$129</f>
        <v/>
      </c>
      <c r="G130" s="59" t="inlineStr"/>
      <c r="H130" s="58">
        <f>$H$129</f>
        <v/>
      </c>
      <c r="I130" s="60">
        <f>IFERROR(F130*H130*IF(E130&lt;&gt;"",E130,1),"")</f>
        <v/>
      </c>
      <c r="J130" s="57" t="n"/>
      <c r="K130" s="57" t="n"/>
      <c r="L130" s="57" t="n"/>
      <c r="M130" s="57" t="n"/>
      <c r="N130" s="61">
        <f>I130</f>
        <v/>
      </c>
      <c r="O130" s="57" t="n"/>
      <c r="P130" s="57" t="n"/>
      <c r="Q130" s="57" t="n"/>
      <c r="R130" s="57" t="n"/>
      <c r="S130" s="57" t="n"/>
      <c r="T130" s="57" t="n"/>
      <c r="U130" s="57" t="n"/>
      <c r="V130" s="62" t="n"/>
      <c r="W130" s="62" t="n"/>
      <c r="X130" s="63" t="inlineStr">
        <is>
          <t>Laminate PL-01 both faces = 1.84 m²</t>
        </is>
      </c>
    </row>
    <row r="131" ht="18" customHeight="1">
      <c r="B131" s="44" t="inlineStr">
        <is>
          <t>E9</t>
        </is>
      </c>
      <c r="C131" s="45" t="inlineStr">
        <is>
          <t>PVC lipping to shutter edges</t>
        </is>
      </c>
      <c r="D131" s="46" t="inlineStr">
        <is>
          <t>LM</t>
        </is>
      </c>
      <c r="E131" s="47" t="inlineStr"/>
      <c r="F131" s="49" t="inlineStr"/>
      <c r="G131" s="49" t="inlineStr"/>
      <c r="H131" s="49" t="inlineStr"/>
      <c r="I131" s="50">
        <f>IF(E131&lt;&gt;"",E131,0)</f>
        <v/>
      </c>
      <c r="J131" s="47" t="n"/>
      <c r="K131" s="47" t="n"/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52" t="n"/>
      <c r="W131" s="52" t="n"/>
      <c r="X131" s="53" t="inlineStr">
        <is>
          <t>Total per unit: 3.90 lm</t>
        </is>
      </c>
    </row>
    <row r="132" ht="28" customHeight="1">
      <c r="A132" s="41" t="n"/>
      <c r="B132" s="41" t="n"/>
      <c r="C132" s="42" t="inlineStr">
        <is>
          <t>Counter Substrate</t>
        </is>
      </c>
      <c r="D132" s="41" t="n"/>
      <c r="E132" s="41" t="n"/>
      <c r="F132" s="43" t="n">
        <v>1.15</v>
      </c>
      <c r="G132" s="43" t="n">
        <v>0.57</v>
      </c>
      <c r="H132" s="67" t="inlineStr">
        <is>
          <t>—</t>
        </is>
      </c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  <c r="R132" s="41" t="n"/>
      <c r="S132" s="41" t="n"/>
      <c r="T132" s="41" t="n"/>
      <c r="U132" s="41" t="n"/>
      <c r="V132" s="41" t="n"/>
      <c r="W132" s="41" t="n"/>
      <c r="X132" s="41" t="n"/>
    </row>
    <row r="133" ht="18" customHeight="1">
      <c r="B133" s="54" t="inlineStr">
        <is>
          <t>E10</t>
        </is>
      </c>
      <c r="C133" s="55" t="inlineStr">
        <is>
          <t>Plywood base to countertop</t>
        </is>
      </c>
      <c r="D133" s="56" t="inlineStr">
        <is>
          <t>M²</t>
        </is>
      </c>
      <c r="E133" s="57" t="inlineStr"/>
      <c r="F133" s="58">
        <f>$F$132</f>
        <v/>
      </c>
      <c r="G133" s="58">
        <f>$G$132</f>
        <v/>
      </c>
      <c r="H133" s="59" t="inlineStr"/>
      <c r="I133" s="60">
        <f>IFERROR(F133*G133*IF(E133&lt;&gt;"",E133,1),"")</f>
        <v/>
      </c>
      <c r="J133" s="57" t="n"/>
      <c r="K133" s="57" t="n"/>
      <c r="L133" s="57" t="n"/>
      <c r="M133" s="57" t="n"/>
      <c r="N133" s="57" t="n"/>
      <c r="O133" s="61">
        <f>I133</f>
        <v/>
      </c>
      <c r="P133" s="57" t="n"/>
      <c r="Q133" s="57" t="n"/>
      <c r="R133" s="57" t="n"/>
      <c r="S133" s="57" t="n"/>
      <c r="T133" s="57" t="n"/>
      <c r="U133" s="57" t="n"/>
      <c r="V133" s="62" t="n"/>
      <c r="W133" s="62" t="n"/>
      <c r="X133" s="63" t="inlineStr"/>
    </row>
    <row r="134" ht="28" customHeight="1">
      <c r="A134" s="41" t="n"/>
      <c r="B134" s="41" t="n"/>
      <c r="C134" s="42" t="inlineStr">
        <is>
          <t>End Panel</t>
        </is>
      </c>
      <c r="D134" s="41" t="n"/>
      <c r="E134" s="41" t="n"/>
      <c r="F134" s="43" t="n">
        <v>1.05</v>
      </c>
      <c r="G134" s="67" t="inlineStr">
        <is>
          <t>—</t>
        </is>
      </c>
      <c r="H134" s="43" t="n">
        <v>0.95</v>
      </c>
      <c r="I134" s="41" t="n"/>
      <c r="J134" s="41" t="n"/>
      <c r="K134" s="41" t="n"/>
      <c r="L134" s="41" t="n"/>
      <c r="M134" s="41" t="n"/>
      <c r="N134" s="41" t="n"/>
      <c r="O134" s="41" t="n"/>
      <c r="P134" s="41" t="n"/>
      <c r="Q134" s="41" t="n"/>
      <c r="R134" s="41" t="n"/>
      <c r="S134" s="41" t="n"/>
      <c r="T134" s="41" t="n"/>
      <c r="U134" s="41" t="n"/>
      <c r="V134" s="41" t="n"/>
      <c r="W134" s="41" t="n"/>
      <c r="X134" s="41" t="n"/>
    </row>
    <row r="135" ht="18" customHeight="1">
      <c r="B135" s="44" t="inlineStr">
        <is>
          <t>E11</t>
        </is>
      </c>
      <c r="C135" s="45" t="inlineStr">
        <is>
          <t>12mm MR MDF side panel</t>
        </is>
      </c>
      <c r="D135" s="46" t="inlineStr">
        <is>
          <t>M²</t>
        </is>
      </c>
      <c r="E135" s="47" t="inlineStr"/>
      <c r="F135" s="48">
        <f>$F$134</f>
        <v/>
      </c>
      <c r="G135" s="49" t="inlineStr"/>
      <c r="H135" s="48">
        <f>$H$134</f>
        <v/>
      </c>
      <c r="I135" s="50">
        <f>IFERROR(F135*H135*IF(E135&lt;&gt;"",E135,1),"")</f>
        <v/>
      </c>
      <c r="J135" s="47" t="n"/>
      <c r="K135" s="47" t="n"/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52" t="n"/>
      <c r="W135" s="52" t="n"/>
      <c r="X135" s="53" t="inlineStr">
        <is>
          <t>12mm MR MDF = 0.998 m²</t>
        </is>
      </c>
    </row>
    <row r="136" ht="18" customHeight="1">
      <c r="B136" s="54" t="inlineStr">
        <is>
          <t>E12</t>
        </is>
      </c>
      <c r="C136" s="55" t="inlineStr">
        <is>
          <t>Solid timber framing</t>
        </is>
      </c>
      <c r="D136" s="56" t="inlineStr">
        <is>
          <t>M³</t>
        </is>
      </c>
      <c r="E136" s="57" t="inlineStr"/>
      <c r="F136" s="58">
        <f>$F$134</f>
        <v/>
      </c>
      <c r="G136" s="59" t="inlineStr"/>
      <c r="H136" s="58">
        <f>$H$134</f>
        <v/>
      </c>
      <c r="I136" s="60" t="inlineStr">
        <is>
          <t>""</t>
        </is>
      </c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62" t="n"/>
      <c r="W136" s="62" t="n"/>
      <c r="X136" s="63" t="inlineStr">
        <is>
          <t>Timber volume per unit: 0.026 m³</t>
        </is>
      </c>
    </row>
    <row r="137" ht="28" customHeight="1">
      <c r="A137" s="41" t="n"/>
      <c r="B137" s="41" t="n"/>
      <c r="C137" s="42" t="inlineStr">
        <is>
          <t>Hardware</t>
        </is>
      </c>
      <c r="D137" s="41" t="n"/>
      <c r="E137" s="41" t="n"/>
      <c r="F137" s="67" t="inlineStr">
        <is>
          <t>—</t>
        </is>
      </c>
      <c r="G137" s="67" t="inlineStr">
        <is>
          <t>—</t>
        </is>
      </c>
      <c r="H137" s="67" t="inlineStr">
        <is>
          <t>—</t>
        </is>
      </c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  <c r="R137" s="41" t="n"/>
      <c r="S137" s="41" t="n"/>
      <c r="T137" s="41" t="n"/>
      <c r="U137" s="41" t="n"/>
      <c r="V137" s="41" t="n"/>
      <c r="W137" s="41" t="n"/>
      <c r="X137" s="41" t="n"/>
    </row>
    <row r="138" ht="18" customHeight="1">
      <c r="B138" s="44" t="inlineStr">
        <is>
          <t>E13</t>
        </is>
      </c>
      <c r="C138" s="45" t="inlineStr">
        <is>
          <t>Full overlay soft-close hinges</t>
        </is>
      </c>
      <c r="D138" s="46" t="inlineStr">
        <is>
          <t>Nr</t>
        </is>
      </c>
      <c r="E138" s="47" t="inlineStr"/>
      <c r="F138" s="49" t="inlineStr"/>
      <c r="G138" s="49" t="inlineStr"/>
      <c r="H138" s="49" t="inlineStr"/>
      <c r="I138" s="50">
        <f>IF(E138&lt;&gt;"",E138,0)</f>
        <v/>
      </c>
      <c r="J138" s="47" t="n"/>
      <c r="K138" s="47" t="n"/>
      <c r="L138" s="47" t="n"/>
      <c r="M138" s="47" t="n"/>
      <c r="N138" s="47" t="n"/>
      <c r="O138" s="47" t="n"/>
      <c r="P138" s="47" t="n"/>
      <c r="Q138" s="47" t="n"/>
      <c r="R138" s="51">
        <f>I138</f>
        <v/>
      </c>
      <c r="S138" s="47" t="n"/>
      <c r="T138" s="47" t="n"/>
      <c r="U138" s="47" t="n"/>
      <c r="V138" s="52" t="n"/>
      <c r="W138" s="52" t="n"/>
      <c r="X138" s="53" t="inlineStr"/>
    </row>
    <row r="139" ht="18" customHeight="1">
      <c r="B139" s="54" t="inlineStr">
        <is>
          <t>E14</t>
        </is>
      </c>
      <c r="C139" s="55" t="inlineStr">
        <is>
          <t>Drawer runners (nil – no drawers)</t>
        </is>
      </c>
      <c r="D139" s="56" t="inlineStr">
        <is>
          <t>Pr</t>
        </is>
      </c>
      <c r="E139" s="57" t="inlineStr"/>
      <c r="F139" s="59" t="inlineStr"/>
      <c r="G139" s="59" t="inlineStr"/>
      <c r="H139" s="59" t="inlineStr"/>
      <c r="I139" s="60">
        <f>IF(E139&lt;&gt;"",E139,0)</f>
        <v/>
      </c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61">
        <f>I139</f>
        <v/>
      </c>
      <c r="T139" s="57" t="n"/>
      <c r="U139" s="57" t="n"/>
      <c r="V139" s="62" t="n"/>
      <c r="W139" s="62" t="n"/>
      <c r="X139" s="63" t="inlineStr">
        <is>
          <t>No drawers</t>
        </is>
      </c>
    </row>
    <row r="140" ht="18" customHeight="1">
      <c r="B140" s="44" t="inlineStr">
        <is>
          <t>E15</t>
        </is>
      </c>
      <c r="C140" s="45" t="inlineStr">
        <is>
          <t>Aluminium skirting to base of island</t>
        </is>
      </c>
      <c r="D140" s="46" t="inlineStr">
        <is>
          <t>LM</t>
        </is>
      </c>
      <c r="E140" s="47" t="inlineStr"/>
      <c r="F140" s="49" t="inlineStr"/>
      <c r="G140" s="49" t="inlineStr"/>
      <c r="H140" s="49" t="inlineStr"/>
      <c r="I140" s="50">
        <f>IF(E140&lt;&gt;"",E140,0)</f>
        <v/>
      </c>
      <c r="J140" s="47" t="n"/>
      <c r="K140" s="47" t="n"/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52" t="n"/>
      <c r="W140" s="52" t="n"/>
      <c r="X140" s="53" t="inlineStr">
        <is>
          <t>Total per unit: 1.15 lm</t>
        </is>
      </c>
    </row>
    <row r="141" ht="20" customHeight="1">
      <c r="I141" s="68" t="inlineStr">
        <is>
          <t>Per Unit</t>
        </is>
      </c>
      <c r="J141" s="69">
        <f>SUM(J121:J140)</f>
        <v/>
      </c>
      <c r="K141" s="69">
        <f>SUM(K121:K140)</f>
        <v/>
      </c>
      <c r="L141" s="69">
        <f>SUM(L121:L140)</f>
        <v/>
      </c>
      <c r="M141" s="69">
        <f>SUM(M121:M140)</f>
        <v/>
      </c>
      <c r="N141" s="69">
        <f>SUM(N121:N140)</f>
        <v/>
      </c>
      <c r="O141" s="69">
        <f>SUM(O121:O140)</f>
        <v/>
      </c>
      <c r="P141" s="69">
        <f>SUM(P121:P140)</f>
        <v/>
      </c>
      <c r="Q141" s="69">
        <f>SUM(Q121:Q140)</f>
        <v/>
      </c>
      <c r="R141" s="69">
        <f>SUM(R121:R140)</f>
        <v/>
      </c>
      <c r="S141" s="69">
        <f>SUM(S121:S140)</f>
        <v/>
      </c>
      <c r="T141" s="69">
        <f>SUM(T121:T140)</f>
        <v/>
      </c>
      <c r="U141" s="69">
        <f>SUM(U121:U140)</f>
        <v/>
      </c>
    </row>
    <row r="142" ht="22" customHeight="1">
      <c r="H142" s="70">
        <f>H2</f>
        <v/>
      </c>
      <c r="I142" s="71" t="inlineStr">
        <is>
          <t>Total Unit</t>
        </is>
      </c>
      <c r="J142" s="72">
        <f>J141*H2/2.88</f>
        <v/>
      </c>
      <c r="K142" s="72">
        <f>K141*H2/2.88</f>
        <v/>
      </c>
      <c r="L142" s="72">
        <f>L141*H2/2.88</f>
        <v/>
      </c>
      <c r="M142" s="72">
        <f>M141*H2/2.88</f>
        <v/>
      </c>
      <c r="N142" s="72">
        <f>N141*H2/2.88</f>
        <v/>
      </c>
      <c r="O142" s="72">
        <f>O141*H2/2.88</f>
        <v/>
      </c>
      <c r="P142" s="72">
        <f>P141*H2/2.88</f>
        <v/>
      </c>
      <c r="Q142" s="72">
        <f>Q141*H2/2.88</f>
        <v/>
      </c>
      <c r="R142" s="72">
        <f>R141*H2</f>
        <v/>
      </c>
      <c r="S142" s="72">
        <f>S141*H2</f>
        <v/>
      </c>
      <c r="T142" s="72">
        <f>T141*H2/2.88</f>
        <v/>
      </c>
      <c r="U142" s="72">
        <f>U141*H2/2.88</f>
        <v/>
      </c>
    </row>
    <row r="143" ht="10" customHeight="1"/>
    <row r="144" ht="32" customHeight="1">
      <c r="A144" s="35" t="n"/>
      <c r="B144" s="36" t="inlineStr">
        <is>
          <t xml:space="preserve">  FX  </t>
        </is>
      </c>
      <c r="C144" s="37" t="inlineStr">
        <is>
          <t>KITCHEN FIXTURES – INSTALLED ITEMS SCHEDULE</t>
        </is>
      </c>
      <c r="D144" s="35" t="n"/>
      <c r="E144" s="35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</row>
    <row r="145" ht="48" customHeight="1">
      <c r="A145" s="20" t="n"/>
      <c r="B145" s="73" t="inlineStr">
        <is>
          <t>S.No</t>
        </is>
      </c>
      <c r="C145" s="74" t="inlineStr">
        <is>
          <t>Description</t>
        </is>
      </c>
      <c r="D145" s="73" t="inlineStr">
        <is>
          <t>Unit</t>
        </is>
      </c>
      <c r="E145" s="75" t="inlineStr">
        <is>
          <t>Qty / Unit</t>
        </is>
      </c>
      <c r="F145" s="76" t="n"/>
      <c r="G145" s="76" t="n"/>
      <c r="H145" s="76" t="n"/>
      <c r="I145" s="75" t="inlineStr">
        <is>
          <t>Total Qty
(Project)</t>
        </is>
      </c>
      <c r="J145" s="77" t="inlineStr">
        <is>
          <t>— MATERIAL SCOPE N/A  ·  Installed Fixtures Only —</t>
        </is>
      </c>
      <c r="K145" s="78" t="n"/>
      <c r="L145" s="78" t="n"/>
      <c r="M145" s="78" t="n"/>
      <c r="N145" s="78" t="n"/>
      <c r="O145" s="78" t="n"/>
      <c r="P145" s="78" t="n"/>
      <c r="Q145" s="78" t="n"/>
      <c r="R145" s="78" t="n"/>
      <c r="S145" s="78" t="n"/>
      <c r="T145" s="78" t="n"/>
      <c r="U145" s="78" t="n"/>
      <c r="V145" s="78" t="n"/>
      <c r="W145" s="78" t="n"/>
      <c r="X145" s="79" t="inlineStr">
        <is>
          <t>Remarks</t>
        </is>
      </c>
    </row>
    <row r="146" ht="22" customHeight="1">
      <c r="A146" s="80" t="n"/>
      <c r="B146" s="81" t="inlineStr">
        <is>
          <t>F1</t>
        </is>
      </c>
      <c r="C146" s="82" t="inlineStr">
        <is>
          <t>Kitchen mixer tap with pull-out spray</t>
        </is>
      </c>
      <c r="D146" s="83" t="inlineStr">
        <is>
          <t>Each</t>
        </is>
      </c>
      <c r="E146" s="84" t="n">
        <v>1</v>
      </c>
      <c r="F146" s="85" t="inlineStr">
        <is>
          <t>—</t>
        </is>
      </c>
      <c r="G146" s="86" t="n"/>
      <c r="H146" s="87" t="n"/>
      <c r="I146" s="88">
        <f>E146*H2</f>
        <v/>
      </c>
      <c r="J146" s="89" t="inlineStr">
        <is>
          <t>—</t>
        </is>
      </c>
      <c r="K146" s="86" t="n"/>
      <c r="L146" s="86" t="n"/>
      <c r="M146" s="86" t="n"/>
      <c r="N146" s="86" t="n"/>
      <c r="O146" s="86" t="n"/>
      <c r="P146" s="86" t="n"/>
      <c r="Q146" s="86" t="n"/>
      <c r="R146" s="86" t="n"/>
      <c r="S146" s="86" t="n"/>
      <c r="T146" s="86" t="n"/>
      <c r="U146" s="86" t="n"/>
      <c r="V146" s="86" t="n"/>
      <c r="W146" s="87" t="n"/>
      <c r="X146" s="90" t="inlineStr">
        <is>
          <t>Supply and installation per kitchen unit</t>
        </is>
      </c>
    </row>
    <row r="147" ht="22" customHeight="1">
      <c r="A147" s="80" t="n"/>
      <c r="B147" s="91" t="inlineStr">
        <is>
          <t>F2</t>
        </is>
      </c>
      <c r="C147" s="92" t="inlineStr">
        <is>
          <t>Exhaust fan</t>
        </is>
      </c>
      <c r="D147" s="93" t="inlineStr">
        <is>
          <t>Each</t>
        </is>
      </c>
      <c r="E147" s="94" t="n">
        <v>1</v>
      </c>
      <c r="F147" s="95" t="inlineStr">
        <is>
          <t>—</t>
        </is>
      </c>
      <c r="G147" s="96" t="n"/>
      <c r="H147" s="97" t="n"/>
      <c r="I147" s="98">
        <f>E147*H2</f>
        <v/>
      </c>
      <c r="J147" s="99" t="inlineStr">
        <is>
          <t>—</t>
        </is>
      </c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7" t="n"/>
      <c r="X147" s="100" t="inlineStr">
        <is>
          <t>Over cooktop location</t>
        </is>
      </c>
    </row>
    <row r="148" ht="22" customHeight="1">
      <c r="A148" s="80" t="n"/>
      <c r="B148" s="81" t="inlineStr">
        <is>
          <t>F3</t>
        </is>
      </c>
      <c r="C148" s="82" t="inlineStr">
        <is>
          <t>Gas hob</t>
        </is>
      </c>
      <c r="D148" s="83" t="inlineStr">
        <is>
          <t>Each</t>
        </is>
      </c>
      <c r="E148" s="84" t="n">
        <v>1</v>
      </c>
      <c r="F148" s="85" t="inlineStr">
        <is>
          <t>—</t>
        </is>
      </c>
      <c r="G148" s="86" t="n"/>
      <c r="H148" s="87" t="n"/>
      <c r="I148" s="88">
        <f>E148*H2</f>
        <v/>
      </c>
      <c r="J148" s="89" t="inlineStr">
        <is>
          <t>—</t>
        </is>
      </c>
      <c r="K148" s="86" t="n"/>
      <c r="L148" s="86" t="n"/>
      <c r="M148" s="86" t="n"/>
      <c r="N148" s="86" t="n"/>
      <c r="O148" s="86" t="n"/>
      <c r="P148" s="86" t="n"/>
      <c r="Q148" s="86" t="n"/>
      <c r="R148" s="86" t="n"/>
      <c r="S148" s="86" t="n"/>
      <c r="T148" s="86" t="n"/>
      <c r="U148" s="86" t="n"/>
      <c r="V148" s="86" t="n"/>
      <c r="W148" s="87" t="n"/>
      <c r="X148" s="90" t="inlineStr">
        <is>
          <t>Built-in installation</t>
        </is>
      </c>
    </row>
    <row r="149" ht="22" customHeight="1">
      <c r="A149" s="80" t="n"/>
      <c r="B149" s="91" t="inlineStr">
        <is>
          <t>F4</t>
        </is>
      </c>
      <c r="C149" s="92" t="inlineStr">
        <is>
          <t>Built-in oven</t>
        </is>
      </c>
      <c r="D149" s="93" t="inlineStr">
        <is>
          <t>Each</t>
        </is>
      </c>
      <c r="E149" s="94" t="n">
        <v>1</v>
      </c>
      <c r="F149" s="95" t="inlineStr">
        <is>
          <t>—</t>
        </is>
      </c>
      <c r="G149" s="96" t="n"/>
      <c r="H149" s="97" t="n"/>
      <c r="I149" s="98">
        <f>E149*H2</f>
        <v/>
      </c>
      <c r="J149" s="99" t="inlineStr">
        <is>
          <t>—</t>
        </is>
      </c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7" t="n"/>
      <c r="X149" s="100" t="inlineStr">
        <is>
          <t>Under counter installation</t>
        </is>
      </c>
    </row>
    <row r="150" ht="22" customHeight="1">
      <c r="A150" s="80" t="n"/>
      <c r="B150" s="81" t="inlineStr">
        <is>
          <t>F5</t>
        </is>
      </c>
      <c r="C150" s="82" t="inlineStr">
        <is>
          <t>Stainless steel sink</t>
        </is>
      </c>
      <c r="D150" s="83" t="inlineStr">
        <is>
          <t>Each</t>
        </is>
      </c>
      <c r="E150" s="84" t="n">
        <v>1</v>
      </c>
      <c r="F150" s="85" t="inlineStr">
        <is>
          <t>—</t>
        </is>
      </c>
      <c r="G150" s="86" t="n"/>
      <c r="H150" s="87" t="n"/>
      <c r="I150" s="88">
        <f>E150*H2</f>
        <v/>
      </c>
      <c r="J150" s="89" t="inlineStr">
        <is>
          <t>—</t>
        </is>
      </c>
      <c r="K150" s="86" t="n"/>
      <c r="L150" s="86" t="n"/>
      <c r="M150" s="86" t="n"/>
      <c r="N150" s="86" t="n"/>
      <c r="O150" s="86" t="n"/>
      <c r="P150" s="86" t="n"/>
      <c r="Q150" s="86" t="n"/>
      <c r="R150" s="86" t="n"/>
      <c r="S150" s="86" t="n"/>
      <c r="T150" s="86" t="n"/>
      <c r="U150" s="86" t="n"/>
      <c r="V150" s="86" t="n"/>
      <c r="W150" s="87" t="n"/>
      <c r="X150" s="90" t="inlineStr">
        <is>
          <t>Includes waste kit</t>
        </is>
      </c>
    </row>
    <row r="151" ht="22" customHeight="1">
      <c r="A151" s="80" t="n"/>
      <c r="B151" s="91" t="inlineStr">
        <is>
          <t>F6</t>
        </is>
      </c>
      <c r="C151" s="92" t="inlineStr">
        <is>
          <t>Cabinet handles</t>
        </is>
      </c>
      <c r="D151" s="93" t="inlineStr">
        <is>
          <t>Each</t>
        </is>
      </c>
      <c r="E151" s="94" t="n">
        <v>15</v>
      </c>
      <c r="F151" s="95" t="inlineStr">
        <is>
          <t>—</t>
        </is>
      </c>
      <c r="G151" s="96" t="n"/>
      <c r="H151" s="97" t="n"/>
      <c r="I151" s="98">
        <f>E151*H2</f>
        <v/>
      </c>
      <c r="J151" s="99" t="inlineStr">
        <is>
          <t>—</t>
        </is>
      </c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7" t="n"/>
      <c r="X151" s="100" t="inlineStr">
        <is>
          <t>2 per drawer, 1 per door</t>
        </is>
      </c>
    </row>
    <row r="152" ht="10" customHeight="1"/>
    <row r="154" ht="10" customHeight="1"/>
    <row r="155" ht="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</row>
    <row r="156" ht="26" customHeight="1">
      <c r="A156" s="101" t="inlineStr">
        <is>
          <t>PROJECT TOTALS  —  All Sections</t>
        </is>
      </c>
    </row>
    <row r="157" ht="28" customHeight="1">
      <c r="I157" s="102" t="inlineStr">
        <is>
          <t>Total QTY</t>
        </is>
      </c>
      <c r="J157" s="103">
        <f>J33+J54+J82+J117+J142</f>
        <v/>
      </c>
      <c r="K157" s="103">
        <f>K33+K54+K82+K117+K142</f>
        <v/>
      </c>
      <c r="L157" s="103">
        <f>L33+L54+L82+L117+L142</f>
        <v/>
      </c>
      <c r="M157" s="103">
        <f>M33+M54+M82+M117+M142</f>
        <v/>
      </c>
      <c r="N157" s="103">
        <f>N33+N54+N82+N117+N142</f>
        <v/>
      </c>
      <c r="O157" s="103">
        <f>O33+O54+O82+O117+O142</f>
        <v/>
      </c>
      <c r="P157" s="103">
        <f>P33+P54+P82+P117+P142</f>
        <v/>
      </c>
      <c r="Q157" s="103">
        <f>Q33+Q54+Q82+Q117+Q142</f>
        <v/>
      </c>
      <c r="R157" s="103">
        <f>R33+R54+R82+R117+R142</f>
        <v/>
      </c>
      <c r="S157" s="103">
        <f>S33+S54+S82+S117+S142</f>
        <v/>
      </c>
      <c r="T157" s="103">
        <f>T33+T54+T82+T117+T142</f>
        <v/>
      </c>
      <c r="U157" s="103">
        <f>U33+U54+U82+U117+U142</f>
        <v/>
      </c>
    </row>
    <row r="158" ht="56" customHeight="1">
      <c r="J158" s="104" t="inlineStr">
        <is>
          <t>6mm Both-Face
Melamine MR MDF Sheet</t>
        </is>
      </c>
      <c r="K158" s="104" t="inlineStr">
        <is>
          <t>9mm Both-Face
Melamine MR MDF Sheet</t>
        </is>
      </c>
      <c r="L158" s="104" t="inlineStr">
        <is>
          <t>12mm Both-Face
Melamine MR MDF Sheet</t>
        </is>
      </c>
      <c r="M158" s="104" t="inlineStr">
        <is>
          <t>18mm Both-Face
Melamine MR MDF Sheet</t>
        </is>
      </c>
      <c r="N158" s="104" t="inlineStr">
        <is>
          <t>18mm Plain
MR MDF Sheet</t>
        </is>
      </c>
      <c r="O158" s="104" t="inlineStr">
        <is>
          <t>Plywood</t>
        </is>
      </c>
      <c r="P158" s="104" t="inlineStr">
        <is>
          <t>25mm Plain MR MDF</t>
        </is>
      </c>
      <c r="Q158" s="104" t="inlineStr">
        <is>
          <t>PL-01
Laminate (0.8mm)</t>
        </is>
      </c>
      <c r="R158" s="104" t="inlineStr">
        <is>
          <t>Full Overlay
Hinges</t>
        </is>
      </c>
      <c r="S158" s="104" t="inlineStr">
        <is>
          <t>Drawer Runner
(0.5m)</t>
        </is>
      </c>
      <c r="T158" s="104" t="inlineStr">
        <is>
          <t>PVC Lipping 25mm</t>
        </is>
      </c>
      <c r="U158" s="104" t="inlineStr">
        <is>
          <t>PVC Lipping 18mm</t>
        </is>
      </c>
    </row>
    <row r="159" ht="8" customHeight="1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</row>
    <row r="160" ht="8" customHeight="1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</row>
    <row r="161" ht="8" customHeight="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</row>
    <row r="162" ht="8" customHeight="1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</row>
    <row r="163" ht="8" customHeight="1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</row>
    <row r="164" ht="8" customHeight="1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</row>
    <row r="165" ht="8" customHeight="1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</row>
    <row r="166" ht="8" customHeight="1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</row>
    <row r="167" ht="8" customHeight="1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</row>
    <row r="168" ht="8" customHeight="1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</row>
  </sheetData>
  <mergeCells count="15">
    <mergeCell ref="J145:W145"/>
    <mergeCell ref="F151:H151"/>
    <mergeCell ref="J149:W149"/>
    <mergeCell ref="F150:H150"/>
    <mergeCell ref="J148:W148"/>
    <mergeCell ref="F146:H146"/>
    <mergeCell ref="J150:W150"/>
    <mergeCell ref="A156:X156"/>
    <mergeCell ref="F148:H148"/>
    <mergeCell ref="F149:H149"/>
    <mergeCell ref="J147:W147"/>
    <mergeCell ref="A1:X1"/>
    <mergeCell ref="J151:W151"/>
    <mergeCell ref="F147:H147"/>
    <mergeCell ref="J146:W1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9" customWidth="1" min="3" max="3"/>
    <col width="40" customWidth="1" min="4" max="4"/>
    <col width="8" customWidth="1" min="5" max="5"/>
    <col width="14" customWidth="1" min="6" max="6"/>
    <col width="14" customWidth="1" min="7" max="7"/>
    <col width="14" customWidth="1" min="8" max="8"/>
    <col width="43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6" customHeight="1">
      <c r="A2" s="106" t="n"/>
      <c r="B2" s="107" t="inlineStr">
        <is>
          <t>MATERIALS LIST  ·  PROJECT TOTAL QUANTITIES</t>
        </is>
      </c>
      <c r="C2" s="106" t="n"/>
      <c r="D2" s="106" t="n"/>
      <c r="E2" s="106" t="n"/>
      <c r="F2" s="106" t="n"/>
      <c r="G2" s="106" t="n"/>
      <c r="H2" s="106" t="n"/>
      <c r="I2" s="106" t="n"/>
    </row>
    <row r="3" ht="22" customHeight="1">
      <c r="A3" s="7" t="n"/>
      <c r="B3" s="6" t="inlineStr">
        <is>
          <t>AL WAHA RESIDENCE 01   ·   EXPO CITY DUBAI   ·   TYPE C01   ·   58 Units</t>
        </is>
      </c>
      <c r="C3" s="7" t="n"/>
      <c r="D3" s="7" t="n"/>
      <c r="E3" s="7" t="n"/>
      <c r="F3" s="7" t="n"/>
      <c r="G3" s="7" t="n"/>
      <c r="H3" s="7" t="n"/>
      <c r="I3" s="7" t="n"/>
    </row>
    <row r="4" ht="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20" customHeight="1">
      <c r="A5" s="108" t="n"/>
      <c r="B5" s="109" t="inlineStr">
        <is>
          <t>★  All quantities are live-linked from BOQ_Matrix row 157. Edit dimensions in BOQ_Matrix; this sheet updates automatically.</t>
        </is>
      </c>
      <c r="C5" s="108" t="n"/>
      <c r="D5" s="108" t="n"/>
      <c r="E5" s="108" t="n"/>
      <c r="F5" s="108" t="n"/>
      <c r="G5" s="108" t="n"/>
      <c r="H5" s="108" t="n"/>
      <c r="I5" s="108" t="n"/>
    </row>
    <row r="6" ht="8" customHeight="1"/>
    <row r="7" ht="50" customHeight="1">
      <c r="A7" s="39" t="inlineStr"/>
      <c r="B7" s="39" t="inlineStr">
        <is>
          <t>#</t>
        </is>
      </c>
      <c r="C7" s="39" t="inlineStr">
        <is>
          <t>Material ID</t>
        </is>
      </c>
      <c r="D7" s="39" t="inlineStr">
        <is>
          <t>Description / Specification</t>
        </is>
      </c>
      <c r="E7" s="39" t="inlineStr">
        <is>
          <t>Unit</t>
        </is>
      </c>
      <c r="F7" s="39" t="inlineStr">
        <is>
          <t>Total
Quantity</t>
        </is>
      </c>
      <c r="G7" s="39" t="inlineStr">
        <is>
          <t>Sheet Size
(m²)</t>
        </is>
      </c>
      <c r="H7" s="39" t="inlineStr">
        <is>
          <t>Sheets
Needed</t>
        </is>
      </c>
      <c r="I7" s="39" t="inlineStr">
        <is>
          <t>Remarks</t>
        </is>
      </c>
    </row>
    <row r="8" ht="22" customHeight="1">
      <c r="A8" s="16" t="n"/>
      <c r="B8" s="110" t="n">
        <v>1</v>
      </c>
      <c r="C8" s="111" t="inlineStr">
        <is>
          <t>6mm_mdf</t>
        </is>
      </c>
      <c r="D8" s="112" t="inlineStr">
        <is>
          <t>6mm Both-Face Melamine MR MDF Sheet</t>
        </is>
      </c>
      <c r="E8" s="113" t="inlineStr">
        <is>
          <t>M²</t>
        </is>
      </c>
      <c r="F8" s="114">
        <f>BOQ_Matrix!J157</f>
        <v/>
      </c>
      <c r="G8" s="115" t="n">
        <v>2.88</v>
      </c>
      <c r="H8" s="116">
        <f>IFERROR(CEILING(F8/G8,1),"")</f>
        <v/>
      </c>
      <c r="I8" s="117" t="inlineStr">
        <is>
          <t>Per m² supplied</t>
        </is>
      </c>
    </row>
    <row r="9" ht="22" customHeight="1">
      <c r="A9" s="16" t="n"/>
      <c r="B9" s="118" t="n">
        <v>2</v>
      </c>
      <c r="C9" s="119" t="inlineStr">
        <is>
          <t>9mm_mdf</t>
        </is>
      </c>
      <c r="D9" s="120" t="inlineStr">
        <is>
          <t>9mm Both-Face Melamine MR MDF Sheet</t>
        </is>
      </c>
      <c r="E9" s="121" t="inlineStr">
        <is>
          <t>M²</t>
        </is>
      </c>
      <c r="F9" s="122">
        <f>BOQ_Matrix!K157</f>
        <v/>
      </c>
      <c r="G9" s="123" t="n">
        <v>2.88</v>
      </c>
      <c r="H9" s="124">
        <f>IFERROR(CEILING(F9/G9,1),"")</f>
        <v/>
      </c>
      <c r="I9" s="125" t="inlineStr">
        <is>
          <t>Per m² supplied</t>
        </is>
      </c>
    </row>
    <row r="10" ht="22" customHeight="1">
      <c r="A10" s="16" t="n"/>
      <c r="B10" s="110" t="n">
        <v>3</v>
      </c>
      <c r="C10" s="111" t="inlineStr">
        <is>
          <t>12mm_mdf</t>
        </is>
      </c>
      <c r="D10" s="112" t="inlineStr">
        <is>
          <t>12mm Both-Face Melamine MR MDF Sheet</t>
        </is>
      </c>
      <c r="E10" s="113" t="inlineStr">
        <is>
          <t>M²</t>
        </is>
      </c>
      <c r="F10" s="114">
        <f>BOQ_Matrix!L157</f>
        <v/>
      </c>
      <c r="G10" s="115" t="n">
        <v>2.88</v>
      </c>
      <c r="H10" s="116">
        <f>IFERROR(CEILING(F10/G10,1),"")</f>
        <v/>
      </c>
      <c r="I10" s="117" t="inlineStr">
        <is>
          <t>Per m² supplied</t>
        </is>
      </c>
    </row>
    <row r="11" ht="22" customHeight="1">
      <c r="A11" s="16" t="n"/>
      <c r="B11" s="118" t="n">
        <v>4</v>
      </c>
      <c r="C11" s="119" t="inlineStr">
        <is>
          <t>18mm_mdf</t>
        </is>
      </c>
      <c r="D11" s="120" t="inlineStr">
        <is>
          <t>18mm Both-Face Melamine MR MDF Sheet</t>
        </is>
      </c>
      <c r="E11" s="121" t="inlineStr">
        <is>
          <t>M²</t>
        </is>
      </c>
      <c r="F11" s="122">
        <f>BOQ_Matrix!M157</f>
        <v/>
      </c>
      <c r="G11" s="123" t="n">
        <v>2.88</v>
      </c>
      <c r="H11" s="124">
        <f>IFERROR(CEILING(F11/G11,1),"")</f>
        <v/>
      </c>
      <c r="I11" s="125" t="inlineStr">
        <is>
          <t>Per m² supplied</t>
        </is>
      </c>
    </row>
    <row r="12" ht="22" customHeight="1">
      <c r="A12" s="16" t="n"/>
      <c r="B12" s="110" t="n">
        <v>5</v>
      </c>
      <c r="C12" s="111" t="inlineStr">
        <is>
          <t>18mm_plain_mdf</t>
        </is>
      </c>
      <c r="D12" s="112" t="inlineStr">
        <is>
          <t>18mm Plain MR MDF Sheet</t>
        </is>
      </c>
      <c r="E12" s="113" t="inlineStr">
        <is>
          <t>M²</t>
        </is>
      </c>
      <c r="F12" s="114">
        <f>BOQ_Matrix!N157</f>
        <v/>
      </c>
      <c r="G12" s="115" t="n">
        <v>2.88</v>
      </c>
      <c r="H12" s="116">
        <f>IFERROR(CEILING(F12/G12,1),"")</f>
        <v/>
      </c>
      <c r="I12" s="117" t="inlineStr">
        <is>
          <t>Per m² supplied</t>
        </is>
      </c>
    </row>
    <row r="13" ht="22" customHeight="1">
      <c r="A13" s="16" t="n"/>
      <c r="B13" s="118" t="n">
        <v>6</v>
      </c>
      <c r="C13" s="119" t="inlineStr">
        <is>
          <t>plywood</t>
        </is>
      </c>
      <c r="D13" s="120" t="inlineStr">
        <is>
          <t>Plywood</t>
        </is>
      </c>
      <c r="E13" s="121" t="inlineStr">
        <is>
          <t>M²</t>
        </is>
      </c>
      <c r="F13" s="122">
        <f>BOQ_Matrix!O157</f>
        <v/>
      </c>
      <c r="G13" s="123" t="n">
        <v>2.88</v>
      </c>
      <c r="H13" s="124">
        <f>IFERROR(CEILING(F13/G13,1),"")</f>
        <v/>
      </c>
      <c r="I13" s="125" t="inlineStr">
        <is>
          <t>Per m² supplied</t>
        </is>
      </c>
    </row>
    <row r="14" ht="22" customHeight="1">
      <c r="A14" s="16" t="n"/>
      <c r="B14" s="110" t="n">
        <v>7</v>
      </c>
      <c r="C14" s="111" t="inlineStr">
        <is>
          <t>25mm_mdf</t>
        </is>
      </c>
      <c r="D14" s="112" t="inlineStr">
        <is>
          <t>25mm Plain MR MDF</t>
        </is>
      </c>
      <c r="E14" s="113" t="inlineStr">
        <is>
          <t>M²</t>
        </is>
      </c>
      <c r="F14" s="114">
        <f>BOQ_Matrix!P157</f>
        <v/>
      </c>
      <c r="G14" s="115" t="n">
        <v>2.88</v>
      </c>
      <c r="H14" s="116">
        <f>IFERROR(CEILING(F14/G14,1),"")</f>
        <v/>
      </c>
      <c r="I14" s="117" t="inlineStr">
        <is>
          <t>Per m² supplied</t>
        </is>
      </c>
    </row>
    <row r="15" ht="22" customHeight="1">
      <c r="A15" s="16" t="n"/>
      <c r="B15" s="118" t="n">
        <v>8</v>
      </c>
      <c r="C15" s="119" t="inlineStr">
        <is>
          <t>pl01_laminate</t>
        </is>
      </c>
      <c r="D15" s="120" t="inlineStr">
        <is>
          <t>PL-01 Laminate (0.8mm)</t>
        </is>
      </c>
      <c r="E15" s="121" t="inlineStr">
        <is>
          <t>M²</t>
        </is>
      </c>
      <c r="F15" s="122">
        <f>BOQ_Matrix!Q157</f>
        <v/>
      </c>
      <c r="G15" s="123" t="n">
        <v>2.88</v>
      </c>
      <c r="H15" s="124">
        <f>IFERROR(CEILING(F15/G15,1),"")</f>
        <v/>
      </c>
      <c r="I15" s="125" t="inlineStr">
        <is>
          <t>Per m² supplied &amp; bonded</t>
        </is>
      </c>
    </row>
    <row r="16" ht="22" customHeight="1">
      <c r="A16" s="16" t="n"/>
      <c r="B16" s="110" t="n">
        <v>9</v>
      </c>
      <c r="C16" s="111" t="inlineStr">
        <is>
          <t>hinges</t>
        </is>
      </c>
      <c r="D16" s="112" t="inlineStr">
        <is>
          <t>Full Overlay Hinges</t>
        </is>
      </c>
      <c r="E16" s="113" t="inlineStr">
        <is>
          <t>Nr / Pr</t>
        </is>
      </c>
      <c r="F16" s="114">
        <f>BOQ_Matrix!R157</f>
        <v/>
      </c>
      <c r="G16" s="126" t="inlineStr">
        <is>
          <t>—</t>
        </is>
      </c>
      <c r="H16" s="126" t="inlineStr">
        <is>
          <t>—</t>
        </is>
      </c>
      <c r="I16" s="117" t="inlineStr">
        <is>
          <t>Per hinge supplied &amp; fixed</t>
        </is>
      </c>
    </row>
    <row r="17" ht="22" customHeight="1">
      <c r="A17" s="16" t="n"/>
      <c r="B17" s="118" t="n">
        <v>10</v>
      </c>
      <c r="C17" s="119" t="inlineStr">
        <is>
          <t>drawer_runners</t>
        </is>
      </c>
      <c r="D17" s="120" t="inlineStr">
        <is>
          <t>Drawer Runner (0.5m)</t>
        </is>
      </c>
      <c r="E17" s="121" t="inlineStr">
        <is>
          <t>Nr / Pr</t>
        </is>
      </c>
      <c r="F17" s="122">
        <f>BOQ_Matrix!S157</f>
        <v/>
      </c>
      <c r="G17" s="127" t="inlineStr">
        <is>
          <t>—</t>
        </is>
      </c>
      <c r="H17" s="127" t="inlineStr">
        <is>
          <t>—</t>
        </is>
      </c>
      <c r="I17" s="125" t="inlineStr">
        <is>
          <t>Per pair supplied &amp; fixed</t>
        </is>
      </c>
    </row>
    <row r="18" ht="22" customHeight="1">
      <c r="A18" s="16" t="n"/>
      <c r="B18" s="110" t="n">
        <v>11</v>
      </c>
      <c r="C18" s="111" t="inlineStr">
        <is>
          <t>pvc_lipping_25mm</t>
        </is>
      </c>
      <c r="D18" s="112" t="inlineStr">
        <is>
          <t>PVC Lipping 25mm</t>
        </is>
      </c>
      <c r="E18" s="113" t="inlineStr">
        <is>
          <t>LM</t>
        </is>
      </c>
      <c r="F18" s="114">
        <f>BOQ_Matrix!T157</f>
        <v/>
      </c>
      <c r="G18" s="126" t="inlineStr">
        <is>
          <t>—</t>
        </is>
      </c>
      <c r="H18" s="126" t="inlineStr">
        <is>
          <t>—</t>
        </is>
      </c>
      <c r="I18" s="117" t="inlineStr">
        <is>
          <t>Per LM supplied &amp; glued</t>
        </is>
      </c>
    </row>
    <row r="19" ht="22" customHeight="1">
      <c r="A19" s="16" t="n"/>
      <c r="B19" s="118" t="n">
        <v>12</v>
      </c>
      <c r="C19" s="119" t="inlineStr">
        <is>
          <t>pvc_lipping_18mm</t>
        </is>
      </c>
      <c r="D19" s="120" t="inlineStr">
        <is>
          <t>PVC Lipping 18mm</t>
        </is>
      </c>
      <c r="E19" s="121" t="inlineStr">
        <is>
          <t>LM</t>
        </is>
      </c>
      <c r="F19" s="122">
        <f>BOQ_Matrix!U157</f>
        <v/>
      </c>
      <c r="G19" s="127" t="inlineStr">
        <is>
          <t>—</t>
        </is>
      </c>
      <c r="H19" s="127" t="inlineStr">
        <is>
          <t>—</t>
        </is>
      </c>
      <c r="I19" s="125" t="inlineStr">
        <is>
          <t>Per LM supplied &amp; glued</t>
        </is>
      </c>
    </row>
    <row r="20" ht="8" customHeight="1"/>
    <row r="21" ht="30" customHeight="1">
      <c r="A21" s="76" t="n"/>
      <c r="B21" s="128" t="inlineStr">
        <is>
          <t>INSTALLED FIXTURES  ·  SCHEDULE OF QUANTITIES</t>
        </is>
      </c>
      <c r="C21" s="78" t="n"/>
      <c r="D21" s="78" t="n"/>
      <c r="E21" s="78" t="n"/>
      <c r="F21" s="78" t="n"/>
      <c r="G21" s="78" t="n"/>
      <c r="H21" s="78" t="n"/>
      <c r="I21" s="78" t="n"/>
    </row>
    <row r="22" ht="40" customHeight="1">
      <c r="A22" s="75" t="inlineStr"/>
      <c r="B22" s="75" t="inlineStr">
        <is>
          <t>#</t>
        </is>
      </c>
      <c r="C22" s="75" t="inlineStr">
        <is>
          <t>Item No</t>
        </is>
      </c>
      <c r="D22" s="75" t="inlineStr">
        <is>
          <t>Description</t>
        </is>
      </c>
      <c r="E22" s="75" t="inlineStr">
        <is>
          <t>Unit</t>
        </is>
      </c>
      <c r="F22" s="75" t="inlineStr">
        <is>
          <t>Qty / Unit</t>
        </is>
      </c>
      <c r="G22" s="75" t="inlineStr">
        <is>
          <t>Total Qty
(Project)</t>
        </is>
      </c>
      <c r="H22" s="75" t="inlineStr">
        <is>
          <t>—</t>
        </is>
      </c>
      <c r="I22" s="75" t="inlineStr">
        <is>
          <t>Remarks</t>
        </is>
      </c>
    </row>
    <row r="23" ht="22" customHeight="1">
      <c r="A23" s="16" t="n"/>
      <c r="B23" s="118" t="n">
        <v>1</v>
      </c>
      <c r="C23" s="119" t="inlineStr">
        <is>
          <t>F1</t>
        </is>
      </c>
      <c r="D23" s="120" t="inlineStr">
        <is>
          <t>Kitchen mixer tap with pull-out spray</t>
        </is>
      </c>
      <c r="E23" s="121" t="inlineStr">
        <is>
          <t>Each</t>
        </is>
      </c>
      <c r="F23" s="129" t="n">
        <v>1</v>
      </c>
      <c r="G23" s="130">
        <f>F23*BOQ_Matrix!H2</f>
        <v/>
      </c>
      <c r="H23" s="127" t="inlineStr">
        <is>
          <t>—</t>
        </is>
      </c>
      <c r="I23" s="125" t="inlineStr">
        <is>
          <t>Supply and installation per kitchen unit</t>
        </is>
      </c>
    </row>
    <row r="24" ht="22" customHeight="1">
      <c r="A24" s="12" t="n"/>
      <c r="B24" s="110" t="n">
        <v>2</v>
      </c>
      <c r="C24" s="111" t="inlineStr">
        <is>
          <t>F2</t>
        </is>
      </c>
      <c r="D24" s="112" t="inlineStr">
        <is>
          <t>Exhaust fan</t>
        </is>
      </c>
      <c r="E24" s="113" t="inlineStr">
        <is>
          <t>Each</t>
        </is>
      </c>
      <c r="F24" s="131" t="n">
        <v>1</v>
      </c>
      <c r="G24" s="132">
        <f>F24*BOQ_Matrix!H2</f>
        <v/>
      </c>
      <c r="H24" s="126" t="inlineStr">
        <is>
          <t>—</t>
        </is>
      </c>
      <c r="I24" s="117" t="inlineStr">
        <is>
          <t>Over cooktop location</t>
        </is>
      </c>
    </row>
    <row r="25" ht="22" customHeight="1">
      <c r="A25" s="16" t="n"/>
      <c r="B25" s="118" t="n">
        <v>3</v>
      </c>
      <c r="C25" s="119" t="inlineStr">
        <is>
          <t>F3</t>
        </is>
      </c>
      <c r="D25" s="120" t="inlineStr">
        <is>
          <t>Gas hob</t>
        </is>
      </c>
      <c r="E25" s="121" t="inlineStr">
        <is>
          <t>Each</t>
        </is>
      </c>
      <c r="F25" s="129" t="n">
        <v>1</v>
      </c>
      <c r="G25" s="130">
        <f>F25*BOQ_Matrix!H2</f>
        <v/>
      </c>
      <c r="H25" s="127" t="inlineStr">
        <is>
          <t>—</t>
        </is>
      </c>
      <c r="I25" s="125" t="inlineStr">
        <is>
          <t>Built-in installation</t>
        </is>
      </c>
    </row>
    <row r="26" ht="22" customHeight="1">
      <c r="A26" s="12" t="n"/>
      <c r="B26" s="110" t="n">
        <v>4</v>
      </c>
      <c r="C26" s="111" t="inlineStr">
        <is>
          <t>F4</t>
        </is>
      </c>
      <c r="D26" s="112" t="inlineStr">
        <is>
          <t>Built-in oven</t>
        </is>
      </c>
      <c r="E26" s="113" t="inlineStr">
        <is>
          <t>Each</t>
        </is>
      </c>
      <c r="F26" s="131" t="n">
        <v>1</v>
      </c>
      <c r="G26" s="132">
        <f>F26*BOQ_Matrix!H2</f>
        <v/>
      </c>
      <c r="H26" s="126" t="inlineStr">
        <is>
          <t>—</t>
        </is>
      </c>
      <c r="I26" s="117" t="inlineStr">
        <is>
          <t>Under counter installation</t>
        </is>
      </c>
    </row>
    <row r="27" ht="22" customHeight="1">
      <c r="A27" s="16" t="n"/>
      <c r="B27" s="118" t="n">
        <v>5</v>
      </c>
      <c r="C27" s="119" t="inlineStr">
        <is>
          <t>F5</t>
        </is>
      </c>
      <c r="D27" s="120" t="inlineStr">
        <is>
          <t>Stainless steel sink</t>
        </is>
      </c>
      <c r="E27" s="121" t="inlineStr">
        <is>
          <t>Each</t>
        </is>
      </c>
      <c r="F27" s="129" t="n">
        <v>1</v>
      </c>
      <c r="G27" s="130">
        <f>F27*BOQ_Matrix!H2</f>
        <v/>
      </c>
      <c r="H27" s="127" t="inlineStr">
        <is>
          <t>—</t>
        </is>
      </c>
      <c r="I27" s="125" t="inlineStr">
        <is>
          <t>Includes waste kit</t>
        </is>
      </c>
    </row>
    <row r="28" ht="22" customHeight="1">
      <c r="A28" s="12" t="n"/>
      <c r="B28" s="110" t="n">
        <v>6</v>
      </c>
      <c r="C28" s="111" t="inlineStr">
        <is>
          <t>F6</t>
        </is>
      </c>
      <c r="D28" s="112" t="inlineStr">
        <is>
          <t>Cabinet handles</t>
        </is>
      </c>
      <c r="E28" s="113" t="inlineStr">
        <is>
          <t>Each</t>
        </is>
      </c>
      <c r="F28" s="131" t="n">
        <v>15</v>
      </c>
      <c r="G28" s="132">
        <f>F28*BOQ_Matrix!H2</f>
        <v/>
      </c>
      <c r="H28" s="126" t="inlineStr">
        <is>
          <t>—</t>
        </is>
      </c>
      <c r="I28" s="117" t="inlineStr">
        <is>
          <t>2 per drawer, 1 per door</t>
        </is>
      </c>
    </row>
    <row r="29" ht="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 ht="20" customHeight="1">
      <c r="A30" s="106" t="n"/>
      <c r="B30" s="31" t="inlineStr">
        <is>
          <t>Sheet size basis: 2.88 m² per board  ·  Sheets Needed rounds UP to whole boards  ·  Count/Linear/Volume items show actual quantities.</t>
        </is>
      </c>
      <c r="C30" s="106" t="n"/>
      <c r="D30" s="106" t="n"/>
      <c r="E30" s="106" t="n"/>
      <c r="F30" s="106" t="n"/>
      <c r="G30" s="106" t="n"/>
      <c r="H30" s="106" t="n"/>
      <c r="I30" s="106" t="n"/>
    </row>
  </sheetData>
  <mergeCells count="5">
    <mergeCell ref="B21:I21"/>
    <mergeCell ref="B30:I30"/>
    <mergeCell ref="B2:I2"/>
    <mergeCell ref="B3:I3"/>
    <mergeCell ref="B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9" customWidth="1" min="3" max="3"/>
    <col width="40" customWidth="1" min="4" max="4"/>
    <col width="8" customWidth="1" min="5" max="5"/>
    <col width="14" customWidth="1" min="6" max="6"/>
    <col width="18" customWidth="1" min="7" max="7"/>
    <col width="18" customWidth="1" min="8" max="8"/>
    <col width="43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6" customHeight="1">
      <c r="A2" s="106" t="n"/>
      <c r="B2" s="107" t="inlineStr">
        <is>
          <t>COST BREAKDOWN  ·  MATERIAL QUANTITIES × UNIT RATES</t>
        </is>
      </c>
      <c r="C2" s="106" t="n"/>
      <c r="D2" s="106" t="n"/>
      <c r="E2" s="106" t="n"/>
      <c r="F2" s="106" t="n"/>
      <c r="G2" s="106" t="n"/>
      <c r="H2" s="106" t="n"/>
      <c r="I2" s="106" t="n"/>
    </row>
    <row r="3" ht="22" customHeight="1">
      <c r="A3" s="7" t="n"/>
      <c r="B3" s="6" t="inlineStr">
        <is>
          <t>AL WAHA RESIDENCE 01   ·   EXPO CITY DUBAI   ·   TYPE C01   ·   58 Units   ·   Currency: AED   ·   VAT: 5%</t>
        </is>
      </c>
      <c r="C3" s="7" t="n"/>
      <c r="D3" s="7" t="n"/>
      <c r="E3" s="7" t="n"/>
      <c r="F3" s="7" t="n"/>
      <c r="G3" s="7" t="n"/>
      <c r="H3" s="7" t="n"/>
      <c r="I3" s="7" t="n"/>
    </row>
    <row r="4" ht="4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20" customHeight="1">
      <c r="A5" s="108" t="n"/>
      <c r="B5" s="109" t="inlineStr">
        <is>
          <t>★  Unit rates in column G are pre-filled where cost data exists in the source JSON. Amber cells = contractor to fill. Green cells = rate from data. Amount = Total Qty × Unit Rate.</t>
        </is>
      </c>
      <c r="C5" s="108" t="n"/>
      <c r="D5" s="108" t="n"/>
      <c r="E5" s="108" t="n"/>
      <c r="F5" s="108" t="n"/>
      <c r="G5" s="108" t="n"/>
      <c r="H5" s="108" t="n"/>
      <c r="I5" s="108" t="n"/>
    </row>
    <row r="6" ht="8" customHeight="1"/>
    <row r="7" ht="50" customHeight="1">
      <c r="A7" s="39" t="inlineStr"/>
      <c r="B7" s="39" t="inlineStr">
        <is>
          <t>#</t>
        </is>
      </c>
      <c r="C7" s="39" t="inlineStr">
        <is>
          <t>Material ID</t>
        </is>
      </c>
      <c r="D7" s="39" t="inlineStr">
        <is>
          <t>Description / Specification</t>
        </is>
      </c>
      <c r="E7" s="39" t="inlineStr">
        <is>
          <t>Unit</t>
        </is>
      </c>
      <c r="F7" s="39" t="inlineStr">
        <is>
          <t>Total Qty</t>
        </is>
      </c>
      <c r="G7" s="39" t="inlineStr">
        <is>
          <t>Unit Rate
(AED / unit)</t>
        </is>
      </c>
      <c r="H7" s="39" t="inlineStr">
        <is>
          <t>Amount
(AED)</t>
        </is>
      </c>
      <c r="I7" s="39" t="inlineStr">
        <is>
          <t>Notes</t>
        </is>
      </c>
    </row>
    <row r="8" ht="22" customHeight="1">
      <c r="A8" s="12" t="n"/>
      <c r="B8" s="110" t="n">
        <v>1</v>
      </c>
      <c r="C8" s="111" t="inlineStr">
        <is>
          <t>6mm_mdf</t>
        </is>
      </c>
      <c r="D8" s="112" t="inlineStr">
        <is>
          <t>6mm Both-Face Melamine MR MDF Sheet</t>
        </is>
      </c>
      <c r="E8" s="113" t="inlineStr">
        <is>
          <t>M²</t>
        </is>
      </c>
      <c r="F8" s="114">
        <f>'Materials_List'!F9</f>
        <v/>
      </c>
      <c r="G8" s="133" t="n">
        <v>38.5</v>
      </c>
      <c r="H8" s="134">
        <f>IFERROR(F8*G8,"")</f>
        <v/>
      </c>
      <c r="I8" s="117" t="inlineStr">
        <is>
          <t>Per m² supplied</t>
        </is>
      </c>
    </row>
    <row r="9" ht="22" customHeight="1">
      <c r="A9" s="16" t="n"/>
      <c r="B9" s="118" t="n">
        <v>2</v>
      </c>
      <c r="C9" s="119" t="inlineStr">
        <is>
          <t>9mm_mdf</t>
        </is>
      </c>
      <c r="D9" s="120" t="inlineStr">
        <is>
          <t>9mm Both-Face Melamine MR MDF Sheet</t>
        </is>
      </c>
      <c r="E9" s="121" t="inlineStr">
        <is>
          <t>M²</t>
        </is>
      </c>
      <c r="F9" s="122">
        <f>'Materials_List'!F10</f>
        <v/>
      </c>
      <c r="G9" s="133" t="n">
        <v>45</v>
      </c>
      <c r="H9" s="135">
        <f>IFERROR(F9*G9,"")</f>
        <v/>
      </c>
      <c r="I9" s="125" t="inlineStr">
        <is>
          <t>Per m² supplied</t>
        </is>
      </c>
    </row>
    <row r="10" ht="22" customHeight="1">
      <c r="A10" s="12" t="n"/>
      <c r="B10" s="110" t="n">
        <v>3</v>
      </c>
      <c r="C10" s="111" t="inlineStr">
        <is>
          <t>12mm_mdf</t>
        </is>
      </c>
      <c r="D10" s="112" t="inlineStr">
        <is>
          <t>12mm Both-Face Melamine MR MDF Sheet</t>
        </is>
      </c>
      <c r="E10" s="113" t="inlineStr">
        <is>
          <t>M²</t>
        </is>
      </c>
      <c r="F10" s="114">
        <f>'Materials_List'!F11</f>
        <v/>
      </c>
      <c r="G10" s="133" t="n">
        <v>52</v>
      </c>
      <c r="H10" s="134">
        <f>IFERROR(F10*G10,"")</f>
        <v/>
      </c>
      <c r="I10" s="117" t="inlineStr">
        <is>
          <t>Per m² supplied</t>
        </is>
      </c>
    </row>
    <row r="11" ht="22" customHeight="1">
      <c r="A11" s="16" t="n"/>
      <c r="B11" s="118" t="n">
        <v>4</v>
      </c>
      <c r="C11" s="119" t="inlineStr">
        <is>
          <t>18mm_mdf</t>
        </is>
      </c>
      <c r="D11" s="120" t="inlineStr">
        <is>
          <t>18mm Both-Face Melamine MR MDF Sheet</t>
        </is>
      </c>
      <c r="E11" s="121" t="inlineStr">
        <is>
          <t>M²</t>
        </is>
      </c>
      <c r="F11" s="122">
        <f>'Materials_List'!F12</f>
        <v/>
      </c>
      <c r="G11" s="133" t="n">
        <v>62</v>
      </c>
      <c r="H11" s="135">
        <f>IFERROR(F11*G11,"")</f>
        <v/>
      </c>
      <c r="I11" s="125" t="inlineStr">
        <is>
          <t>Per m² supplied</t>
        </is>
      </c>
    </row>
    <row r="12" ht="22" customHeight="1">
      <c r="A12" s="12" t="n"/>
      <c r="B12" s="110" t="n">
        <v>5</v>
      </c>
      <c r="C12" s="111" t="inlineStr">
        <is>
          <t>18mm_plain_mdf</t>
        </is>
      </c>
      <c r="D12" s="112" t="inlineStr">
        <is>
          <t>18mm Plain MR MDF Sheet</t>
        </is>
      </c>
      <c r="E12" s="113" t="inlineStr">
        <is>
          <t>M²</t>
        </is>
      </c>
      <c r="F12" s="114">
        <f>'Materials_List'!F13</f>
        <v/>
      </c>
      <c r="G12" s="133" t="n">
        <v>55</v>
      </c>
      <c r="H12" s="134">
        <f>IFERROR(F12*G12,"")</f>
        <v/>
      </c>
      <c r="I12" s="117" t="inlineStr">
        <is>
          <t>Per m² supplied</t>
        </is>
      </c>
    </row>
    <row r="13" ht="22" customHeight="1">
      <c r="A13" s="16" t="n"/>
      <c r="B13" s="118" t="n">
        <v>6</v>
      </c>
      <c r="C13" s="119" t="inlineStr">
        <is>
          <t>plywood</t>
        </is>
      </c>
      <c r="D13" s="120" t="inlineStr">
        <is>
          <t>Plywood</t>
        </is>
      </c>
      <c r="E13" s="121" t="inlineStr">
        <is>
          <t>M²</t>
        </is>
      </c>
      <c r="F13" s="122">
        <f>'Materials_List'!F14</f>
        <v/>
      </c>
      <c r="G13" s="133" t="n">
        <v>72</v>
      </c>
      <c r="H13" s="135">
        <f>IFERROR(F13*G13,"")</f>
        <v/>
      </c>
      <c r="I13" s="125" t="inlineStr">
        <is>
          <t>Per m² supplied</t>
        </is>
      </c>
    </row>
    <row r="14" ht="22" customHeight="1">
      <c r="A14" s="12" t="n"/>
      <c r="B14" s="110" t="n">
        <v>7</v>
      </c>
      <c r="C14" s="111" t="inlineStr">
        <is>
          <t>25mm_mdf</t>
        </is>
      </c>
      <c r="D14" s="112" t="inlineStr">
        <is>
          <t>25mm Plain MR MDF</t>
        </is>
      </c>
      <c r="E14" s="113" t="inlineStr">
        <is>
          <t>M²</t>
        </is>
      </c>
      <c r="F14" s="114">
        <f>'Materials_List'!F15</f>
        <v/>
      </c>
      <c r="G14" s="133" t="n">
        <v>78</v>
      </c>
      <c r="H14" s="134">
        <f>IFERROR(F14*G14,"")</f>
        <v/>
      </c>
      <c r="I14" s="117" t="inlineStr">
        <is>
          <t>Per m² supplied</t>
        </is>
      </c>
    </row>
    <row r="15" ht="22" customHeight="1">
      <c r="A15" s="16" t="n"/>
      <c r="B15" s="118" t="n">
        <v>8</v>
      </c>
      <c r="C15" s="119" t="inlineStr">
        <is>
          <t>pl01_laminate</t>
        </is>
      </c>
      <c r="D15" s="120" t="inlineStr">
        <is>
          <t>PL-01 Laminate (0.8mm)</t>
        </is>
      </c>
      <c r="E15" s="121" t="inlineStr">
        <is>
          <t>M²</t>
        </is>
      </c>
      <c r="F15" s="122">
        <f>'Materials_List'!F16</f>
        <v/>
      </c>
      <c r="G15" s="133" t="n">
        <v>95</v>
      </c>
      <c r="H15" s="135">
        <f>IFERROR(F15*G15,"")</f>
        <v/>
      </c>
      <c r="I15" s="125" t="inlineStr">
        <is>
          <t>Per m² supplied &amp; bonded</t>
        </is>
      </c>
    </row>
    <row r="16" ht="22" customHeight="1">
      <c r="A16" s="12" t="n"/>
      <c r="B16" s="110" t="n">
        <v>9</v>
      </c>
      <c r="C16" s="111" t="inlineStr">
        <is>
          <t>hinges</t>
        </is>
      </c>
      <c r="D16" s="112" t="inlineStr">
        <is>
          <t>Full Overlay Hinges</t>
        </is>
      </c>
      <c r="E16" s="113" t="inlineStr">
        <is>
          <t>Nr / Pr</t>
        </is>
      </c>
      <c r="F16" s="114">
        <f>'Materials_List'!F17</f>
        <v/>
      </c>
      <c r="G16" s="133" t="n">
        <v>18.5</v>
      </c>
      <c r="H16" s="134">
        <f>IFERROR(F16*G16,"")</f>
        <v/>
      </c>
      <c r="I16" s="117" t="inlineStr">
        <is>
          <t>Per hinge supplied &amp; fixed</t>
        </is>
      </c>
    </row>
    <row r="17" ht="22" customHeight="1">
      <c r="A17" s="16" t="n"/>
      <c r="B17" s="118" t="n">
        <v>10</v>
      </c>
      <c r="C17" s="119" t="inlineStr">
        <is>
          <t>drawer_runners</t>
        </is>
      </c>
      <c r="D17" s="120" t="inlineStr">
        <is>
          <t>Drawer Runner (0.5m)</t>
        </is>
      </c>
      <c r="E17" s="121" t="inlineStr">
        <is>
          <t>Nr / Pr</t>
        </is>
      </c>
      <c r="F17" s="122">
        <f>'Materials_List'!F18</f>
        <v/>
      </c>
      <c r="G17" s="133" t="n">
        <v>65</v>
      </c>
      <c r="H17" s="135">
        <f>IFERROR(F17*G17,"")</f>
        <v/>
      </c>
      <c r="I17" s="125" t="inlineStr">
        <is>
          <t>Per pair supplied &amp; fixed</t>
        </is>
      </c>
    </row>
    <row r="18" ht="22" customHeight="1">
      <c r="A18" s="12" t="n"/>
      <c r="B18" s="110" t="n">
        <v>11</v>
      </c>
      <c r="C18" s="111" t="inlineStr">
        <is>
          <t>pvc_lipping_25mm</t>
        </is>
      </c>
      <c r="D18" s="112" t="inlineStr">
        <is>
          <t>PVC Lipping 25mm</t>
        </is>
      </c>
      <c r="E18" s="113" t="inlineStr">
        <is>
          <t>LM</t>
        </is>
      </c>
      <c r="F18" s="114">
        <f>'Materials_List'!F19</f>
        <v/>
      </c>
      <c r="G18" s="133" t="n">
        <v>12</v>
      </c>
      <c r="H18" s="134">
        <f>IFERROR(F18*G18,"")</f>
        <v/>
      </c>
      <c r="I18" s="117" t="inlineStr">
        <is>
          <t>Per LM supplied &amp; glued</t>
        </is>
      </c>
    </row>
    <row r="19" ht="22" customHeight="1">
      <c r="A19" s="16" t="n"/>
      <c r="B19" s="118" t="n">
        <v>12</v>
      </c>
      <c r="C19" s="119" t="inlineStr">
        <is>
          <t>pvc_lipping_18mm</t>
        </is>
      </c>
      <c r="D19" s="120" t="inlineStr">
        <is>
          <t>PVC Lipping 18mm</t>
        </is>
      </c>
      <c r="E19" s="121" t="inlineStr">
        <is>
          <t>LM</t>
        </is>
      </c>
      <c r="F19" s="122">
        <f>'Materials_List'!F20</f>
        <v/>
      </c>
      <c r="G19" s="133" t="n">
        <v>9.5</v>
      </c>
      <c r="H19" s="135">
        <f>IFERROR(F19*G19,"")</f>
        <v/>
      </c>
      <c r="I19" s="125" t="inlineStr">
        <is>
          <t>Per LM supplied &amp; glued</t>
        </is>
      </c>
    </row>
    <row r="20" ht="8" customHeight="1"/>
    <row r="21" ht="30" customHeight="1">
      <c r="A21" s="76" t="n"/>
      <c r="B21" s="128" t="inlineStr">
        <is>
          <t>INSTALLED FIXTURES  ·  SUPPLY &amp; INSTALLATION RATES</t>
        </is>
      </c>
      <c r="C21" s="78" t="n"/>
      <c r="D21" s="78" t="n"/>
      <c r="E21" s="78" t="n"/>
      <c r="F21" s="78" t="n"/>
      <c r="G21" s="78" t="n"/>
      <c r="H21" s="78" t="n"/>
      <c r="I21" s="78" t="n"/>
    </row>
    <row r="22" ht="48" customHeight="1">
      <c r="A22" s="75" t="inlineStr"/>
      <c r="B22" s="75" t="inlineStr">
        <is>
          <t>#</t>
        </is>
      </c>
      <c r="C22" s="75" t="inlineStr">
        <is>
          <t>Item No</t>
        </is>
      </c>
      <c r="D22" s="75" t="inlineStr">
        <is>
          <t>Description</t>
        </is>
      </c>
      <c r="E22" s="75" t="inlineStr">
        <is>
          <t>Unit</t>
        </is>
      </c>
      <c r="F22" s="75" t="inlineStr">
        <is>
          <t>Total Qty</t>
        </is>
      </c>
      <c r="G22" s="75" t="inlineStr">
        <is>
          <t>Unit Rate
(AED / unit)</t>
        </is>
      </c>
      <c r="H22" s="75" t="inlineStr">
        <is>
          <t>Amount
(AED)</t>
        </is>
      </c>
      <c r="I22" s="75" t="inlineStr">
        <is>
          <t>Notes</t>
        </is>
      </c>
    </row>
    <row r="23" ht="22" customHeight="1">
      <c r="A23" s="16" t="n"/>
      <c r="B23" s="118" t="n">
        <v>1</v>
      </c>
      <c r="C23" s="119" t="inlineStr">
        <is>
          <t>F1</t>
        </is>
      </c>
      <c r="D23" s="120" t="inlineStr">
        <is>
          <t>Kitchen mixer tap with pull-out spray</t>
        </is>
      </c>
      <c r="E23" s="121" t="inlineStr">
        <is>
          <t>Each</t>
        </is>
      </c>
      <c r="F23" s="130">
        <f>'Materials_List'!G24</f>
        <v/>
      </c>
      <c r="G23" s="133" t="n">
        <v>850</v>
      </c>
      <c r="H23" s="135">
        <f>IFERROR(F23*G23,"")</f>
        <v/>
      </c>
      <c r="I23" s="125" t="inlineStr">
        <is>
          <t>Supply and installation per kitchen unit</t>
        </is>
      </c>
    </row>
    <row r="24" ht="22" customHeight="1">
      <c r="A24" s="12" t="n"/>
      <c r="B24" s="110" t="n">
        <v>2</v>
      </c>
      <c r="C24" s="111" t="inlineStr">
        <is>
          <t>F2</t>
        </is>
      </c>
      <c r="D24" s="112" t="inlineStr">
        <is>
          <t>Exhaust fan</t>
        </is>
      </c>
      <c r="E24" s="113" t="inlineStr">
        <is>
          <t>Each</t>
        </is>
      </c>
      <c r="F24" s="132">
        <f>'Materials_List'!G25</f>
        <v/>
      </c>
      <c r="G24" s="133" t="n">
        <v>420</v>
      </c>
      <c r="H24" s="134">
        <f>IFERROR(F24*G24,"")</f>
        <v/>
      </c>
      <c r="I24" s="117" t="inlineStr">
        <is>
          <t>Over cooktop location</t>
        </is>
      </c>
    </row>
    <row r="25" ht="22" customHeight="1">
      <c r="A25" s="16" t="n"/>
      <c r="B25" s="118" t="n">
        <v>3</v>
      </c>
      <c r="C25" s="119" t="inlineStr">
        <is>
          <t>F3</t>
        </is>
      </c>
      <c r="D25" s="120" t="inlineStr">
        <is>
          <t>Gas hob</t>
        </is>
      </c>
      <c r="E25" s="121" t="inlineStr">
        <is>
          <t>Each</t>
        </is>
      </c>
      <c r="F25" s="130">
        <f>'Materials_List'!G26</f>
        <v/>
      </c>
      <c r="G25" s="133" t="n">
        <v>1200</v>
      </c>
      <c r="H25" s="135">
        <f>IFERROR(F25*G25,"")</f>
        <v/>
      </c>
      <c r="I25" s="125" t="inlineStr">
        <is>
          <t>Built-in installation</t>
        </is>
      </c>
    </row>
    <row r="26" ht="22" customHeight="1">
      <c r="A26" s="12" t="n"/>
      <c r="B26" s="110" t="n">
        <v>4</v>
      </c>
      <c r="C26" s="111" t="inlineStr">
        <is>
          <t>F4</t>
        </is>
      </c>
      <c r="D26" s="112" t="inlineStr">
        <is>
          <t>Built-in oven</t>
        </is>
      </c>
      <c r="E26" s="113" t="inlineStr">
        <is>
          <t>Each</t>
        </is>
      </c>
      <c r="F26" s="132">
        <f>'Materials_List'!G27</f>
        <v/>
      </c>
      <c r="G26" s="133" t="n">
        <v>2800</v>
      </c>
      <c r="H26" s="134">
        <f>IFERROR(F26*G26,"")</f>
        <v/>
      </c>
      <c r="I26" s="117" t="inlineStr">
        <is>
          <t>Under counter installation</t>
        </is>
      </c>
    </row>
    <row r="27" ht="22" customHeight="1">
      <c r="A27" s="16" t="n"/>
      <c r="B27" s="118" t="n">
        <v>5</v>
      </c>
      <c r="C27" s="119" t="inlineStr">
        <is>
          <t>F5</t>
        </is>
      </c>
      <c r="D27" s="120" t="inlineStr">
        <is>
          <t>Stainless steel sink</t>
        </is>
      </c>
      <c r="E27" s="121" t="inlineStr">
        <is>
          <t>Each</t>
        </is>
      </c>
      <c r="F27" s="130">
        <f>'Materials_List'!G28</f>
        <v/>
      </c>
      <c r="G27" s="133" t="n">
        <v>950</v>
      </c>
      <c r="H27" s="135">
        <f>IFERROR(F27*G27,"")</f>
        <v/>
      </c>
      <c r="I27" s="125" t="inlineStr">
        <is>
          <t>Includes waste kit</t>
        </is>
      </c>
    </row>
    <row r="28" ht="22" customHeight="1">
      <c r="A28" s="12" t="n"/>
      <c r="B28" s="110" t="n">
        <v>6</v>
      </c>
      <c r="C28" s="111" t="inlineStr">
        <is>
          <t>F6</t>
        </is>
      </c>
      <c r="D28" s="112" t="inlineStr">
        <is>
          <t>Cabinet handles</t>
        </is>
      </c>
      <c r="E28" s="113" t="inlineStr">
        <is>
          <t>Each</t>
        </is>
      </c>
      <c r="F28" s="132">
        <f>'Materials_List'!G29</f>
        <v/>
      </c>
      <c r="G28" s="133" t="n">
        <v>35</v>
      </c>
      <c r="H28" s="134">
        <f>IFERROR(F28*G28,"")</f>
        <v/>
      </c>
      <c r="I28" s="117" t="inlineStr">
        <is>
          <t>2 per drawer, 1 per door</t>
        </is>
      </c>
    </row>
    <row r="29" ht="8" customHeight="1"/>
    <row r="30" ht="28" customHeight="1">
      <c r="A30" s="136" t="n"/>
      <c r="B30" s="136" t="n"/>
      <c r="C30" s="137" t="inlineStr">
        <is>
          <t>SUBTOTAL  (excl. VAT)</t>
        </is>
      </c>
      <c r="H30" s="138">
        <f>IFERROR(H8,0)+IFERROR(H9,0)+IFERROR(H10,0)+IFERROR(H11,0)+IFERROR(H12,0)+IFERROR(H13,0)+IFERROR(H14,0)+IFERROR(H15,0)+IFERROR(H16,0)+IFERROR(H17,0)+IFERROR(H18,0)+IFERROR(H19,0)+IFERROR(H23,0)+IFERROR(H24,0)+IFERROR(H25,0)+IFERROR(H26,0)+IFERROR(H27,0)+IFERROR(H28,0)</f>
        <v/>
      </c>
      <c r="I30" s="136" t="n"/>
    </row>
    <row r="31" ht="28" customHeight="1">
      <c r="A31" s="7" t="n"/>
      <c r="B31" s="7" t="n"/>
      <c r="C31" s="139" t="inlineStr">
        <is>
          <t>VAT  (5%)</t>
        </is>
      </c>
      <c r="H31" s="140">
        <f>H30*0.05</f>
        <v/>
      </c>
      <c r="I31" s="7" t="n"/>
    </row>
    <row r="32" ht="34" customHeight="1">
      <c r="A32" s="106" t="n"/>
      <c r="B32" s="106" t="n"/>
      <c r="C32" s="141" t="inlineStr">
        <is>
          <t>GRAND TOTAL  (incl. VAT)</t>
        </is>
      </c>
      <c r="H32" s="142">
        <f>H30+H31</f>
        <v/>
      </c>
      <c r="I32" s="106" t="n"/>
    </row>
    <row r="33" ht="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 ht="20" customHeight="1">
      <c r="A34" s="106" t="n"/>
      <c r="B34" s="31" t="inlineStr">
        <is>
          <t>Rates to be provided by tendering contractor.  All quantities are indicative and subject to field verification.  Currency: AED  ·  VAT @ 5%</t>
        </is>
      </c>
      <c r="C34" s="106" t="n"/>
      <c r="D34" s="106" t="n"/>
      <c r="E34" s="106" t="n"/>
      <c r="F34" s="106" t="n"/>
      <c r="G34" s="106" t="n"/>
      <c r="H34" s="106" t="n"/>
      <c r="I34" s="106" t="n"/>
    </row>
  </sheetData>
  <mergeCells count="8">
    <mergeCell ref="C30:G30"/>
    <mergeCell ref="B21:I21"/>
    <mergeCell ref="C32:G32"/>
    <mergeCell ref="B2:I2"/>
    <mergeCell ref="B34:I34"/>
    <mergeCell ref="B3:I3"/>
    <mergeCell ref="B5:I5"/>
    <mergeCell ref="C31:G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2026-05-07T03:55:50Z</dcterms:created>
  <dcterms:modified xsi:type="dcterms:W3CDTF">2026-05-07T03:55:51Z</dcterms:modified>
</cp:coreProperties>
</file>