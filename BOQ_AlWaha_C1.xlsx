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My-CODE_RUSH\projects\Quantity Savior\client\"/>
    </mc:Choice>
  </mc:AlternateContent>
  <xr:revisionPtr revIDLastSave="0" documentId="13_ncr:1_{E74DFD67-3D73-4C55-80D4-39966189422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ummary" sheetId="1" r:id="rId1"/>
    <sheet name="BOQ_Matrix" sheetId="2" r:id="rId2"/>
    <sheet name="Materials_List" sheetId="3" r:id="rId3"/>
    <sheet name="Cost_Breakdow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4" l="1"/>
  <c r="F46" i="4"/>
  <c r="H46" i="4" s="1"/>
  <c r="F45" i="4"/>
  <c r="H45" i="4" s="1"/>
  <c r="F44" i="4"/>
  <c r="H44" i="4" s="1"/>
  <c r="H43" i="4"/>
  <c r="F43" i="4"/>
  <c r="F37" i="4"/>
  <c r="H37" i="4" s="1"/>
  <c r="G28" i="3"/>
  <c r="G27" i="3"/>
  <c r="G26" i="3"/>
  <c r="G25" i="3"/>
  <c r="F42" i="4" s="1"/>
  <c r="H42" i="4" s="1"/>
  <c r="G24" i="3"/>
  <c r="F41" i="4" s="1"/>
  <c r="H41" i="4" s="1"/>
  <c r="G23" i="3"/>
  <c r="I151" i="2"/>
  <c r="I150" i="2"/>
  <c r="I149" i="2"/>
  <c r="I148" i="2"/>
  <c r="I147" i="2"/>
  <c r="I146" i="2"/>
  <c r="U142" i="2"/>
  <c r="P142" i="2"/>
  <c r="H142" i="2"/>
  <c r="U141" i="2"/>
  <c r="T141" i="2"/>
  <c r="T142" i="2" s="1"/>
  <c r="Q141" i="2"/>
  <c r="Q142" i="2" s="1"/>
  <c r="P141" i="2"/>
  <c r="L141" i="2"/>
  <c r="L142" i="2" s="1"/>
  <c r="J141" i="2"/>
  <c r="J142" i="2" s="1"/>
  <c r="I140" i="2"/>
  <c r="I139" i="2"/>
  <c r="S139" i="2" s="1"/>
  <c r="S141" i="2" s="1"/>
  <c r="S142" i="2" s="1"/>
  <c r="I138" i="2"/>
  <c r="R138" i="2" s="1"/>
  <c r="R141" i="2" s="1"/>
  <c r="R142" i="2" s="1"/>
  <c r="H136" i="2"/>
  <c r="F136" i="2"/>
  <c r="H135" i="2"/>
  <c r="F135" i="2"/>
  <c r="I135" i="2" s="1"/>
  <c r="I133" i="2"/>
  <c r="O133" i="2" s="1"/>
  <c r="O141" i="2" s="1"/>
  <c r="O142" i="2" s="1"/>
  <c r="G133" i="2"/>
  <c r="F133" i="2"/>
  <c r="I131" i="2"/>
  <c r="H130" i="2"/>
  <c r="F130" i="2"/>
  <c r="I130" i="2" s="1"/>
  <c r="N130" i="2" s="1"/>
  <c r="N141" i="2" s="1"/>
  <c r="N142" i="2" s="1"/>
  <c r="I128" i="2"/>
  <c r="I127" i="2"/>
  <c r="M127" i="2" s="1"/>
  <c r="G127" i="2"/>
  <c r="F127" i="2"/>
  <c r="H126" i="2"/>
  <c r="I126" i="2" s="1"/>
  <c r="M126" i="2" s="1"/>
  <c r="G126" i="2"/>
  <c r="H125" i="2"/>
  <c r="G125" i="2"/>
  <c r="I125" i="2" s="1"/>
  <c r="M125" i="2" s="1"/>
  <c r="I124" i="2"/>
  <c r="M124" i="2" s="1"/>
  <c r="G124" i="2"/>
  <c r="F124" i="2"/>
  <c r="G123" i="2"/>
  <c r="F123" i="2"/>
  <c r="I123" i="2" s="1"/>
  <c r="M123" i="2" s="1"/>
  <c r="H122" i="2"/>
  <c r="F122" i="2"/>
  <c r="I122" i="2" s="1"/>
  <c r="K122" i="2" s="1"/>
  <c r="K141" i="2" s="1"/>
  <c r="K142" i="2" s="1"/>
  <c r="T117" i="2"/>
  <c r="Q117" i="2"/>
  <c r="H117" i="2"/>
  <c r="T116" i="2"/>
  <c r="S116" i="2"/>
  <c r="S117" i="2" s="1"/>
  <c r="Q116" i="2"/>
  <c r="P116" i="2"/>
  <c r="P117" i="2" s="1"/>
  <c r="I115" i="2"/>
  <c r="I114" i="2"/>
  <c r="R114" i="2" s="1"/>
  <c r="S113" i="2"/>
  <c r="I113" i="2"/>
  <c r="R112" i="2"/>
  <c r="R116" i="2" s="1"/>
  <c r="R117" i="2" s="1"/>
  <c r="I112" i="2"/>
  <c r="G110" i="2"/>
  <c r="F110" i="2"/>
  <c r="I110" i="2" s="1"/>
  <c r="O110" i="2" s="1"/>
  <c r="O116" i="2" s="1"/>
  <c r="O117" i="2" s="1"/>
  <c r="I108" i="2"/>
  <c r="H107" i="2"/>
  <c r="I107" i="2" s="1"/>
  <c r="N107" i="2" s="1"/>
  <c r="N116" i="2" s="1"/>
  <c r="N117" i="2" s="1"/>
  <c r="F107" i="2"/>
  <c r="I105" i="2"/>
  <c r="U104" i="2"/>
  <c r="I104" i="2"/>
  <c r="G103" i="2"/>
  <c r="F103" i="2"/>
  <c r="I103" i="2" s="1"/>
  <c r="J103" i="2" s="1"/>
  <c r="I102" i="2"/>
  <c r="L102" i="2" s="1"/>
  <c r="H102" i="2"/>
  <c r="F102" i="2"/>
  <c r="H101" i="2"/>
  <c r="I101" i="2" s="1"/>
  <c r="M101" i="2" s="1"/>
  <c r="F101" i="2"/>
  <c r="I99" i="2"/>
  <c r="I98" i="2"/>
  <c r="U98" i="2" s="1"/>
  <c r="U116" i="2" s="1"/>
  <c r="U117" i="2" s="1"/>
  <c r="G97" i="2"/>
  <c r="I97" i="2" s="1"/>
  <c r="J97" i="2" s="1"/>
  <c r="F97" i="2"/>
  <c r="H96" i="2"/>
  <c r="F96" i="2"/>
  <c r="I96" i="2" s="1"/>
  <c r="L96" i="2" s="1"/>
  <c r="H95" i="2"/>
  <c r="F95" i="2"/>
  <c r="I95" i="2" s="1"/>
  <c r="M95" i="2" s="1"/>
  <c r="I93" i="2"/>
  <c r="I92" i="2"/>
  <c r="M92" i="2" s="1"/>
  <c r="G92" i="2"/>
  <c r="F92" i="2"/>
  <c r="H91" i="2"/>
  <c r="I91" i="2" s="1"/>
  <c r="M91" i="2" s="1"/>
  <c r="G91" i="2"/>
  <c r="H90" i="2"/>
  <c r="G90" i="2"/>
  <c r="I90" i="2" s="1"/>
  <c r="M90" i="2" s="1"/>
  <c r="I89" i="2"/>
  <c r="M89" i="2" s="1"/>
  <c r="G89" i="2"/>
  <c r="F89" i="2"/>
  <c r="G88" i="2"/>
  <c r="I88" i="2" s="1"/>
  <c r="M88" i="2" s="1"/>
  <c r="F88" i="2"/>
  <c r="H87" i="2"/>
  <c r="F87" i="2"/>
  <c r="I87" i="2" s="1"/>
  <c r="K87" i="2" s="1"/>
  <c r="K116" i="2" s="1"/>
  <c r="K117" i="2" s="1"/>
  <c r="T82" i="2"/>
  <c r="H82" i="2"/>
  <c r="T81" i="2"/>
  <c r="Q81" i="2"/>
  <c r="Q82" i="2" s="1"/>
  <c r="P81" i="2"/>
  <c r="P82" i="2" s="1"/>
  <c r="I80" i="2"/>
  <c r="I79" i="2"/>
  <c r="S79" i="2" s="1"/>
  <c r="S81" i="2" s="1"/>
  <c r="S82" i="2" s="1"/>
  <c r="I78" i="2"/>
  <c r="R78" i="2" s="1"/>
  <c r="R81" i="2" s="1"/>
  <c r="R82" i="2" s="1"/>
  <c r="G76" i="2"/>
  <c r="F76" i="2"/>
  <c r="I76" i="2" s="1"/>
  <c r="O76" i="2" s="1"/>
  <c r="O81" i="2" s="1"/>
  <c r="O82" i="2" s="1"/>
  <c r="I74" i="2"/>
  <c r="H73" i="2"/>
  <c r="I73" i="2" s="1"/>
  <c r="N73" i="2" s="1"/>
  <c r="N81" i="2" s="1"/>
  <c r="N82" i="2" s="1"/>
  <c r="F73" i="2"/>
  <c r="I71" i="2"/>
  <c r="I70" i="2"/>
  <c r="U70" i="2" s="1"/>
  <c r="U81" i="2" s="1"/>
  <c r="U82" i="2" s="1"/>
  <c r="G69" i="2"/>
  <c r="F69" i="2"/>
  <c r="I69" i="2" s="1"/>
  <c r="J69" i="2" s="1"/>
  <c r="J81" i="2" s="1"/>
  <c r="J82" i="2" s="1"/>
  <c r="H68" i="2"/>
  <c r="F68" i="2"/>
  <c r="I68" i="2" s="1"/>
  <c r="L68" i="2" s="1"/>
  <c r="L81" i="2" s="1"/>
  <c r="L82" i="2" s="1"/>
  <c r="I67" i="2"/>
  <c r="M67" i="2" s="1"/>
  <c r="H67" i="2"/>
  <c r="F67" i="2"/>
  <c r="I65" i="2"/>
  <c r="G64" i="2"/>
  <c r="F64" i="2"/>
  <c r="I64" i="2" s="1"/>
  <c r="M64" i="2" s="1"/>
  <c r="H63" i="2"/>
  <c r="I63" i="2" s="1"/>
  <c r="M63" i="2" s="1"/>
  <c r="G63" i="2"/>
  <c r="H62" i="2"/>
  <c r="G62" i="2"/>
  <c r="I62" i="2" s="1"/>
  <c r="M62" i="2" s="1"/>
  <c r="G61" i="2"/>
  <c r="F61" i="2"/>
  <c r="I61" i="2" s="1"/>
  <c r="M61" i="2" s="1"/>
  <c r="G60" i="2"/>
  <c r="I60" i="2" s="1"/>
  <c r="M60" i="2" s="1"/>
  <c r="F60" i="2"/>
  <c r="H59" i="2"/>
  <c r="F59" i="2"/>
  <c r="I59" i="2" s="1"/>
  <c r="K59" i="2" s="1"/>
  <c r="K81" i="2" s="1"/>
  <c r="K82" i="2" s="1"/>
  <c r="O54" i="2"/>
  <c r="H54" i="2"/>
  <c r="U53" i="2"/>
  <c r="U54" i="2" s="1"/>
  <c r="S53" i="2"/>
  <c r="S54" i="2" s="1"/>
  <c r="Q53" i="2"/>
  <c r="Q54" i="2" s="1"/>
  <c r="O53" i="2"/>
  <c r="L53" i="2"/>
  <c r="L54" i="2" s="1"/>
  <c r="J53" i="2"/>
  <c r="J54" i="2" s="1"/>
  <c r="I52" i="2"/>
  <c r="R52" i="2" s="1"/>
  <c r="R53" i="2" s="1"/>
  <c r="R54" i="2" s="1"/>
  <c r="I50" i="2"/>
  <c r="T50" i="2" s="1"/>
  <c r="T53" i="2" s="1"/>
  <c r="T54" i="2" s="1"/>
  <c r="I49" i="2"/>
  <c r="P49" i="2" s="1"/>
  <c r="P53" i="2" s="1"/>
  <c r="P54" i="2" s="1"/>
  <c r="H49" i="2"/>
  <c r="F49" i="2"/>
  <c r="I47" i="2"/>
  <c r="H46" i="2"/>
  <c r="F46" i="2"/>
  <c r="I46" i="2" s="1"/>
  <c r="N46" i="2" s="1"/>
  <c r="N53" i="2" s="1"/>
  <c r="N54" i="2" s="1"/>
  <c r="I44" i="2"/>
  <c r="G43" i="2"/>
  <c r="I43" i="2" s="1"/>
  <c r="M43" i="2" s="1"/>
  <c r="H42" i="2"/>
  <c r="I42" i="2" s="1"/>
  <c r="M42" i="2" s="1"/>
  <c r="G42" i="2"/>
  <c r="H41" i="2"/>
  <c r="G41" i="2"/>
  <c r="I41" i="2" s="1"/>
  <c r="M41" i="2" s="1"/>
  <c r="G40" i="2"/>
  <c r="F40" i="2"/>
  <c r="I40" i="2" s="1"/>
  <c r="M40" i="2" s="1"/>
  <c r="G39" i="2"/>
  <c r="I39" i="2" s="1"/>
  <c r="M39" i="2" s="1"/>
  <c r="M53" i="2" s="1"/>
  <c r="M54" i="2" s="1"/>
  <c r="F39" i="2"/>
  <c r="H38" i="2"/>
  <c r="F38" i="2"/>
  <c r="I38" i="2" s="1"/>
  <c r="K38" i="2" s="1"/>
  <c r="K53" i="2" s="1"/>
  <c r="K54" i="2" s="1"/>
  <c r="Q33" i="2"/>
  <c r="O33" i="2"/>
  <c r="H33" i="2"/>
  <c r="U32" i="2"/>
  <c r="U33" i="2" s="1"/>
  <c r="S32" i="2"/>
  <c r="S33" i="2" s="1"/>
  <c r="Q32" i="2"/>
  <c r="O32" i="2"/>
  <c r="L32" i="2"/>
  <c r="L33" i="2" s="1"/>
  <c r="J32" i="2"/>
  <c r="J33" i="2" s="1"/>
  <c r="I31" i="2"/>
  <c r="R31" i="2" s="1"/>
  <c r="R32" i="2" s="1"/>
  <c r="R33" i="2" s="1"/>
  <c r="R157" i="2" s="1"/>
  <c r="F16" i="3" s="1"/>
  <c r="F33" i="4" s="1"/>
  <c r="H33" i="4" s="1"/>
  <c r="I29" i="2"/>
  <c r="T29" i="2" s="1"/>
  <c r="T32" i="2" s="1"/>
  <c r="T33" i="2" s="1"/>
  <c r="T157" i="2" s="1"/>
  <c r="F18" i="3" s="1"/>
  <c r="F35" i="4" s="1"/>
  <c r="H35" i="4" s="1"/>
  <c r="I28" i="2"/>
  <c r="P28" i="2" s="1"/>
  <c r="P32" i="2" s="1"/>
  <c r="P33" i="2" s="1"/>
  <c r="H28" i="2"/>
  <c r="F28" i="2"/>
  <c r="I26" i="2"/>
  <c r="H25" i="2"/>
  <c r="F25" i="2"/>
  <c r="I25" i="2" s="1"/>
  <c r="N25" i="2" s="1"/>
  <c r="I23" i="2"/>
  <c r="I22" i="2"/>
  <c r="M22" i="2" s="1"/>
  <c r="G22" i="2"/>
  <c r="F22" i="2"/>
  <c r="H21" i="2"/>
  <c r="G21" i="2"/>
  <c r="I21" i="2" s="1"/>
  <c r="M21" i="2" s="1"/>
  <c r="H20" i="2"/>
  <c r="G20" i="2"/>
  <c r="I20" i="2" s="1"/>
  <c r="M20" i="2" s="1"/>
  <c r="I19" i="2"/>
  <c r="M19" i="2" s="1"/>
  <c r="G19" i="2"/>
  <c r="F19" i="2"/>
  <c r="I18" i="2"/>
  <c r="M18" i="2" s="1"/>
  <c r="G18" i="2"/>
  <c r="F18" i="2"/>
  <c r="H17" i="2"/>
  <c r="F17" i="2"/>
  <c r="I17" i="2" s="1"/>
  <c r="K17" i="2" s="1"/>
  <c r="I15" i="2"/>
  <c r="H14" i="2"/>
  <c r="I14" i="2" s="1"/>
  <c r="N14" i="2" s="1"/>
  <c r="N32" i="2" s="1"/>
  <c r="N33" i="2" s="1"/>
  <c r="N157" i="2" s="1"/>
  <c r="F12" i="3" s="1"/>
  <c r="F14" i="2"/>
  <c r="I12" i="2"/>
  <c r="G11" i="2"/>
  <c r="I11" i="2" s="1"/>
  <c r="M11" i="2" s="1"/>
  <c r="H10" i="2"/>
  <c r="G10" i="2"/>
  <c r="I10" i="2" s="1"/>
  <c r="M10" i="2" s="1"/>
  <c r="H9" i="2"/>
  <c r="I9" i="2" s="1"/>
  <c r="M9" i="2" s="1"/>
  <c r="G9" i="2"/>
  <c r="G8" i="2"/>
  <c r="F8" i="2"/>
  <c r="I8" i="2" s="1"/>
  <c r="M8" i="2" s="1"/>
  <c r="G7" i="2"/>
  <c r="F7" i="2"/>
  <c r="I7" i="2" s="1"/>
  <c r="M7" i="2" s="1"/>
  <c r="H6" i="2"/>
  <c r="I6" i="2" s="1"/>
  <c r="K6" i="2" s="1"/>
  <c r="K32" i="2" s="1"/>
  <c r="K33" i="2" s="1"/>
  <c r="F6" i="2"/>
  <c r="F29" i="4" l="1"/>
  <c r="H29" i="4" s="1"/>
  <c r="H12" i="3"/>
  <c r="M81" i="2"/>
  <c r="M82" i="2" s="1"/>
  <c r="K157" i="2"/>
  <c r="F9" i="3" s="1"/>
  <c r="L116" i="2"/>
  <c r="L117" i="2" s="1"/>
  <c r="L157" i="2" s="1"/>
  <c r="F10" i="3" s="1"/>
  <c r="M141" i="2"/>
  <c r="M142" i="2" s="1"/>
  <c r="S157" i="2"/>
  <c r="F17" i="3" s="1"/>
  <c r="F34" i="4" s="1"/>
  <c r="H34" i="4" s="1"/>
  <c r="M116" i="2"/>
  <c r="M117" i="2" s="1"/>
  <c r="U157" i="2"/>
  <c r="F19" i="3" s="1"/>
  <c r="F36" i="4" s="1"/>
  <c r="H36" i="4" s="1"/>
  <c r="O157" i="2"/>
  <c r="F13" i="3" s="1"/>
  <c r="Q157" i="2"/>
  <c r="F15" i="3" s="1"/>
  <c r="J116" i="2"/>
  <c r="J117" i="2" s="1"/>
  <c r="J157" i="2" s="1"/>
  <c r="F8" i="3" s="1"/>
  <c r="H8" i="3" s="1"/>
  <c r="M32" i="2"/>
  <c r="M33" i="2" s="1"/>
  <c r="P157" i="2"/>
  <c r="F14" i="3" s="1"/>
  <c r="F27" i="4" l="1"/>
  <c r="H27" i="4" s="1"/>
  <c r="H10" i="3"/>
  <c r="H13" i="3"/>
  <c r="F30" i="4"/>
  <c r="H30" i="4" s="1"/>
  <c r="H9" i="3"/>
  <c r="F26" i="4"/>
  <c r="H26" i="4" s="1"/>
  <c r="H14" i="3"/>
  <c r="F31" i="4"/>
  <c r="H31" i="4" s="1"/>
  <c r="M157" i="2"/>
  <c r="F11" i="3" s="1"/>
  <c r="H15" i="3"/>
  <c r="F32" i="4"/>
  <c r="H32" i="4" s="1"/>
  <c r="H11" i="3" l="1"/>
  <c r="F28" i="4"/>
  <c r="H28" i="4" s="1"/>
  <c r="H49" i="4" l="1"/>
  <c r="H50" i="4" s="1"/>
</calcChain>
</file>

<file path=xl/sharedStrings.xml><?xml version="1.0" encoding="utf-8"?>
<sst xmlns="http://schemas.openxmlformats.org/spreadsheetml/2006/main" count="826" uniqueCount="349">
  <si>
    <t>BILL OF QUANTITIES  ·  KITCHEN FITOUT  ·  TYPE C01</t>
  </si>
  <si>
    <t>AL WAHA RESIDENCE 01   ·   EXPO CITY DUBAI   ·   Phase-01 – Mobility District</t>
  </si>
  <si>
    <t>PROJECT INFORMATION</t>
  </si>
  <si>
    <t>Main Contractor</t>
  </si>
  <si>
    <t>ARCO GROUP</t>
  </si>
  <si>
    <t>Design Consultant</t>
  </si>
  <si>
    <t>HOPKINS ARCHITECTS</t>
  </si>
  <si>
    <t>Supervision</t>
  </si>
  <si>
    <t>DEWAN ARCHITECTS + ENGINEERS</t>
  </si>
  <si>
    <t>Kitchen Type</t>
  </si>
  <si>
    <t>C01</t>
  </si>
  <si>
    <t>Total Units</t>
  </si>
  <si>
    <t>Date</t>
  </si>
  <si>
    <t>2026-03-21</t>
  </si>
  <si>
    <t>Revision</t>
  </si>
  <si>
    <t>Rev 1 – First Issue</t>
  </si>
  <si>
    <t>Currency / VAT</t>
  </si>
  <si>
    <t>AED  (VAT 5%)</t>
  </si>
  <si>
    <t>DRAWING REFERENCES</t>
  </si>
  <si>
    <t>Ref 01</t>
  </si>
  <si>
    <t>C5128-SDW-2TR5600-FO-6000001</t>
  </si>
  <si>
    <t>Ref 02</t>
  </si>
  <si>
    <t>C5128-SDW-2TR5600-FO-6000003</t>
  </si>
  <si>
    <t>Ref 03</t>
  </si>
  <si>
    <t>C5128-SDW-2TR5600-FO-6000004</t>
  </si>
  <si>
    <t>Ref 04</t>
  </si>
  <si>
    <t>C5128-SDW-2TR5600-FO-6000093</t>
  </si>
  <si>
    <t>SECTION SUMMARY</t>
  </si>
  <si>
    <t>Section</t>
  </si>
  <si>
    <t>Reference</t>
  </si>
  <si>
    <t>Description</t>
  </si>
  <si>
    <t>Items</t>
  </si>
  <si>
    <t>A</t>
  </si>
  <si>
    <t>–</t>
  </si>
  <si>
    <t>B</t>
  </si>
  <si>
    <t>C</t>
  </si>
  <si>
    <t>D</t>
  </si>
  <si>
    <t>E</t>
  </si>
  <si>
    <t>GENERAL ASSUMPTIONS</t>
  </si>
  <si>
    <t>Quantity Basis</t>
  </si>
  <si>
    <t>All quantities are per kitchen unit. Multiply by 58 for project total.</t>
  </si>
  <si>
    <t>Drawing Reference</t>
  </si>
  <si>
    <t>Takeoff based on elevations ELV-E, ELV-F, ELV-G1. Cross-reference shop drawings.</t>
  </si>
  <si>
    <t>Excluded Items</t>
  </si>
  <si>
    <t>Fridge housing unit not included in this BOQ.</t>
  </si>
  <si>
    <t>Field Verification</t>
  </si>
  <si>
    <t>All dimensions are from drawings. Field measure before fabrication.</t>
  </si>
  <si>
    <t>Approval Required</t>
  </si>
  <si>
    <t>All finishes and hardware subject to LORJ approval.</t>
  </si>
  <si>
    <t>EXCLUDED FROM SCOPE</t>
  </si>
  <si>
    <t>Porcelain countertop</t>
  </si>
  <si>
    <t>Finished by others (FIN-102)</t>
  </si>
  <si>
    <t>Splashback</t>
  </si>
  <si>
    <t>Finished by others</t>
  </si>
  <si>
    <t>Plumbing connections</t>
  </si>
  <si>
    <t>MEP contractor scope</t>
  </si>
  <si>
    <t>LED lighting</t>
  </si>
  <si>
    <t>Electrical contractor scope</t>
  </si>
  <si>
    <t>All quantities subject to field verification. Unit rates to be inserted by tendering contractor.</t>
  </si>
  <si>
    <t>BILL OF QUANTITIES – KITCHEN FITOUT (TYPE C01)   ·   AL WAHA RESIDENCE 01   ·   EXPO CITY DUBAI   ·   Phase-01 – Mobility District</t>
  </si>
  <si>
    <t xml:space="preserve">  A  </t>
  </si>
  <si>
    <t>SECTION</t>
  </si>
  <si>
    <t>Unit overall dimensions: L 2.07m × W 0.38m × H 1.00m</t>
  </si>
  <si>
    <t>S.No</t>
  </si>
  <si>
    <t>Unit</t>
  </si>
  <si>
    <t>Times</t>
  </si>
  <si>
    <t>L</t>
  </si>
  <si>
    <t>W</t>
  </si>
  <si>
    <t>H</t>
  </si>
  <si>
    <t>Total QTY</t>
  </si>
  <si>
    <t>6mm Both-Face
Melamine MR MDF Sheet</t>
  </si>
  <si>
    <t>9mm Both-Face
Melamine MR MDF Sheet</t>
  </si>
  <si>
    <t>12mm Both-Face
Melamine MR MDF Sheet</t>
  </si>
  <si>
    <t>18mm Both-Face
Melamine MR MDF Sheet</t>
  </si>
  <si>
    <t>18mm Plain
MR MDF Sheet</t>
  </si>
  <si>
    <t>Plywood</t>
  </si>
  <si>
    <t>25mm Plain MR MDF</t>
  </si>
  <si>
    <t>PL-01
Laminate (0.8mm)</t>
  </si>
  <si>
    <t>Full Overlay
Hinges</t>
  </si>
  <si>
    <t>Drawer Runner
(0.5m)</t>
  </si>
  <si>
    <t>PVC Lipping 25mm</t>
  </si>
  <si>
    <t>PVC Lipping 18mm</t>
  </si>
  <si>
    <t>Remarks</t>
  </si>
  <si>
    <t>Carcass-A</t>
  </si>
  <si>
    <t>A1</t>
  </si>
  <si>
    <t>Back panel</t>
  </si>
  <si>
    <t>M²</t>
  </si>
  <si>
    <t>A2</t>
  </si>
  <si>
    <t>Bottom panel</t>
  </si>
  <si>
    <t>A3</t>
  </si>
  <si>
    <t>Top panel</t>
  </si>
  <si>
    <t>A4</t>
  </si>
  <si>
    <t>Side panels</t>
  </si>
  <si>
    <t>A5</t>
  </si>
  <si>
    <t>Internal dividers</t>
  </si>
  <si>
    <t>A6</t>
  </si>
  <si>
    <t>Fixed shelves</t>
  </si>
  <si>
    <t>A7</t>
  </si>
  <si>
    <t>PVC lipping to all exposed edges</t>
  </si>
  <si>
    <t>LM</t>
  </si>
  <si>
    <t>Total lipping per unit: 14.14 lm</t>
  </si>
  <si>
    <t>Shutter-A</t>
  </si>
  <si>
    <t>—</t>
  </si>
  <si>
    <t>A8</t>
  </si>
  <si>
    <t>Plain shutter panel</t>
  </si>
  <si>
    <t>5 shutter doors; laminate PL-01 both faces = 4.14 m²</t>
  </si>
  <si>
    <t>A9</t>
  </si>
  <si>
    <t>PVC lipping to shutter edges</t>
  </si>
  <si>
    <t>Carcass-B</t>
  </si>
  <si>
    <t>A10</t>
  </si>
  <si>
    <t>A11</t>
  </si>
  <si>
    <t>A12</t>
  </si>
  <si>
    <t>A13</t>
  </si>
  <si>
    <t>A14</t>
  </si>
  <si>
    <t>A15</t>
  </si>
  <si>
    <t>A16</t>
  </si>
  <si>
    <t>Total lipping per unit: 24.72 lm</t>
  </si>
  <si>
    <t>Shutter-B</t>
  </si>
  <si>
    <t>A17</t>
  </si>
  <si>
    <t>1 shutter door; laminate PL-01 both faces = 1.276 m²</t>
  </si>
  <si>
    <t>A18</t>
  </si>
  <si>
    <t>Total per unit: 3.78 lm</t>
  </si>
  <si>
    <t>Side Panel</t>
  </si>
  <si>
    <t>A19</t>
  </si>
  <si>
    <t>Exposed end panel</t>
  </si>
  <si>
    <t>25mm MDF = 1.755 m²; laminate coverage = 1.855 m²</t>
  </si>
  <si>
    <t>A20</t>
  </si>
  <si>
    <t>PVC lipping 25mm exposed edge</t>
  </si>
  <si>
    <t>Total per unit: 3.35 lm</t>
  </si>
  <si>
    <t>Hardware</t>
  </si>
  <si>
    <t>A21</t>
  </si>
  <si>
    <t>Full overlay soft-close hinges</t>
  </si>
  <si>
    <t>Nr</t>
  </si>
  <si>
    <t>12 hinges per unit</t>
  </si>
  <si>
    <t>Per Unit</t>
  </si>
  <si>
    <t>Total Unit</t>
  </si>
  <si>
    <t xml:space="preserve">  B  </t>
  </si>
  <si>
    <t>Unit overall dimensions: L 1.18m × W 0.62m × H 1.75m. Shelf layout depicted incorrectly on drawing –</t>
  </si>
  <si>
    <t>Carcass</t>
  </si>
  <si>
    <t>B1</t>
  </si>
  <si>
    <t>B2</t>
  </si>
  <si>
    <t>B3</t>
  </si>
  <si>
    <t>B4</t>
  </si>
  <si>
    <t>B5</t>
  </si>
  <si>
    <t>B6</t>
  </si>
  <si>
    <t>B7</t>
  </si>
  <si>
    <t>Total per unit: 25.02 lm</t>
  </si>
  <si>
    <t>Shutter</t>
  </si>
  <si>
    <t>B8</t>
  </si>
  <si>
    <t>2 shutter doors; laminate PL-01 both faces = 4.13 m²</t>
  </si>
  <si>
    <t>B9</t>
  </si>
  <si>
    <t>Total per unit: 9.36 lm</t>
  </si>
  <si>
    <t>B10</t>
  </si>
  <si>
    <t>25mm MDF = 0.945 m²; laminate coverage = 1.045 m²</t>
  </si>
  <si>
    <t>B11</t>
  </si>
  <si>
    <t>Total per unit: 3.05 lm</t>
  </si>
  <si>
    <t>B12</t>
  </si>
  <si>
    <t>4 hinges per unit</t>
  </si>
  <si>
    <t xml:space="preserve">  C  </t>
  </si>
  <si>
    <t>Unit overall dimensions: L 1.45m × W 0.63m × H 0.77m</t>
  </si>
  <si>
    <t>C1</t>
  </si>
  <si>
    <t>C2</t>
  </si>
  <si>
    <t>C3</t>
  </si>
  <si>
    <t>Top panel (open top – qty 0)</t>
  </si>
  <si>
    <t>Open-top configuration; qty = 0</t>
  </si>
  <si>
    <t>C4</t>
  </si>
  <si>
    <t>C5</t>
  </si>
  <si>
    <t>C6</t>
  </si>
  <si>
    <t>Fixed shelves (nil)</t>
  </si>
  <si>
    <t>No fixed shelves in base unit</t>
  </si>
  <si>
    <t>C7</t>
  </si>
  <si>
    <t>Total per unit: 10.81 lm</t>
  </si>
  <si>
    <t>Drawer</t>
  </si>
  <si>
    <t>C8</t>
  </si>
  <si>
    <t>Drawer front panel</t>
  </si>
  <si>
    <t>C9</t>
  </si>
  <si>
    <t>Drawer sides</t>
  </si>
  <si>
    <t>C10</t>
  </si>
  <si>
    <t>Drawer bottom panel</t>
  </si>
  <si>
    <t>C11</t>
  </si>
  <si>
    <t>PVC lipping 18mm drawer front edges</t>
  </si>
  <si>
    <t>Total per unit: 1.36 lm</t>
  </si>
  <si>
    <t>C12</t>
  </si>
  <si>
    <t>PVC lipping 12mm drawer box edges</t>
  </si>
  <si>
    <t>Total per unit: 2.08 lm</t>
  </si>
  <si>
    <t>C13</t>
  </si>
  <si>
    <t>Laminate PL-01 both faces = 2.233 m²</t>
  </si>
  <si>
    <t>C14</t>
  </si>
  <si>
    <t>Total per unit: 4.44 lm</t>
  </si>
  <si>
    <t>Counter Substrate</t>
  </si>
  <si>
    <t>C15</t>
  </si>
  <si>
    <t>Plywood base to countertop</t>
  </si>
  <si>
    <t>C16</t>
  </si>
  <si>
    <t>C17</t>
  </si>
  <si>
    <t>Soft-close full-extension drawer runners</t>
  </si>
  <si>
    <t>Pr</t>
  </si>
  <si>
    <t>C18</t>
  </si>
  <si>
    <t>Aluminium skirting to base of unit</t>
  </si>
  <si>
    <t>Total per unit: 1.45 lm</t>
  </si>
  <si>
    <t xml:space="preserve">  D  </t>
  </si>
  <si>
    <t>Unit overall dimensions: L 1.18m × W 0.62m × H 0.76m</t>
  </si>
  <si>
    <t>D1</t>
  </si>
  <si>
    <t>D2</t>
  </si>
  <si>
    <t>D3</t>
  </si>
  <si>
    <t>D4</t>
  </si>
  <si>
    <t>D5</t>
  </si>
  <si>
    <t>D6</t>
  </si>
  <si>
    <t>No fixed shelves</t>
  </si>
  <si>
    <t>D7</t>
  </si>
  <si>
    <t>Total per unit: 9.40 lm</t>
  </si>
  <si>
    <t>Drawer-A</t>
  </si>
  <si>
    <t>D8</t>
  </si>
  <si>
    <t>Drawer front (shallow)</t>
  </si>
  <si>
    <t>D9</t>
  </si>
  <si>
    <t>D10</t>
  </si>
  <si>
    <t>Drawer bottom</t>
  </si>
  <si>
    <t>D11</t>
  </si>
  <si>
    <t>PVC lipping 18mm to drawer front</t>
  </si>
  <si>
    <t>Total per unit: 1.53 lm</t>
  </si>
  <si>
    <t>D12</t>
  </si>
  <si>
    <t>PVC lipping 12mm to drawer box</t>
  </si>
  <si>
    <t>Total per unit: 2.18 lm</t>
  </si>
  <si>
    <t>Drawer-B</t>
  </si>
  <si>
    <t>D13</t>
  </si>
  <si>
    <t>Drawer front (deep)</t>
  </si>
  <si>
    <t>D14</t>
  </si>
  <si>
    <t>D15</t>
  </si>
  <si>
    <t>D16</t>
  </si>
  <si>
    <t>Total per unit: 1.93 lm</t>
  </si>
  <si>
    <t>D17</t>
  </si>
  <si>
    <t>D18</t>
  </si>
  <si>
    <t>Laminate PL-01 both faces = 1.794 m²</t>
  </si>
  <si>
    <t>D19</t>
  </si>
  <si>
    <t>Total per unit: 3.88 lm</t>
  </si>
  <si>
    <t>D20</t>
  </si>
  <si>
    <t>D21</t>
  </si>
  <si>
    <t>D22</t>
  </si>
  <si>
    <t>D23</t>
  </si>
  <si>
    <t>Ball catcher / magnetic catch</t>
  </si>
  <si>
    <t>D24</t>
  </si>
  <si>
    <t>Total per unit: 1.18 lm</t>
  </si>
  <si>
    <t xml:space="preserve">  E  </t>
  </si>
  <si>
    <t>Unit overall dimensions: L 1.15m × W 0.57m × H 0.80m. No drawers in this unit.</t>
  </si>
  <si>
    <t>E1</t>
  </si>
  <si>
    <t>E2</t>
  </si>
  <si>
    <t>E3</t>
  </si>
  <si>
    <t>Qty not confirmed – confirm with design</t>
  </si>
  <si>
    <t>E4</t>
  </si>
  <si>
    <t>E5</t>
  </si>
  <si>
    <t>Internal dividers (nil)</t>
  </si>
  <si>
    <t>E6</t>
  </si>
  <si>
    <t>E7</t>
  </si>
  <si>
    <t>Total per unit: 7.78 lm</t>
  </si>
  <si>
    <t>E8</t>
  </si>
  <si>
    <t>Laminate PL-01 both faces = 1.84 m²</t>
  </si>
  <si>
    <t>E9</t>
  </si>
  <si>
    <t>Total per unit: 3.90 lm</t>
  </si>
  <si>
    <t>E10</t>
  </si>
  <si>
    <t>End Panel</t>
  </si>
  <si>
    <t>E11</t>
  </si>
  <si>
    <t>12mm MR MDF side panel</t>
  </si>
  <si>
    <t>12mm MR MDF = 0.998 m²</t>
  </si>
  <si>
    <t>E12</t>
  </si>
  <si>
    <t>Solid timber framing</t>
  </si>
  <si>
    <t>M³</t>
  </si>
  <si>
    <t>""</t>
  </si>
  <si>
    <t>Timber volume per unit: 0.026 m³</t>
  </si>
  <si>
    <t>E13</t>
  </si>
  <si>
    <t>E14</t>
  </si>
  <si>
    <t>Drawer runners (nil – no drawers)</t>
  </si>
  <si>
    <t>No drawers</t>
  </si>
  <si>
    <t>E15</t>
  </si>
  <si>
    <t>Aluminium skirting to base of island</t>
  </si>
  <si>
    <t>Total per unit: 1.15 lm</t>
  </si>
  <si>
    <t xml:space="preserve">  FX  </t>
  </si>
  <si>
    <t>KITCHEN FIXTURES – INSTALLED ITEMS SCHEDULE</t>
  </si>
  <si>
    <t>Qty / Unit</t>
  </si>
  <si>
    <t>Total Qty
(Project)</t>
  </si>
  <si>
    <t>— MATERIAL SCOPE N/A  ·  Installed Fixtures Only —</t>
  </si>
  <si>
    <t>F1</t>
  </si>
  <si>
    <t>Kitchen mixer tap with pull-out spray</t>
  </si>
  <si>
    <t>Each</t>
  </si>
  <si>
    <t>Supply and installation per kitchen unit</t>
  </si>
  <si>
    <t>F2</t>
  </si>
  <si>
    <t>Exhaust fan</t>
  </si>
  <si>
    <t>Over cooktop location</t>
  </si>
  <si>
    <t>F3</t>
  </si>
  <si>
    <t>Gas hob</t>
  </si>
  <si>
    <t>Built-in installation</t>
  </si>
  <si>
    <t>F4</t>
  </si>
  <si>
    <t>Built-in oven</t>
  </si>
  <si>
    <t>Under counter installation</t>
  </si>
  <si>
    <t>F5</t>
  </si>
  <si>
    <t>Stainless steel sink</t>
  </si>
  <si>
    <t>Includes waste kit</t>
  </si>
  <si>
    <t>F6</t>
  </si>
  <si>
    <t>Cabinet handles</t>
  </si>
  <si>
    <t>2 per drawer, 1 per door</t>
  </si>
  <si>
    <t>PROJECT TOTALS  —  All Sections</t>
  </si>
  <si>
    <t>MATERIALS LIST  ·  PROJECT TOTAL QUANTITIES</t>
  </si>
  <si>
    <t>AL WAHA RESIDENCE 01   ·   EXPO CITY DUBAI   ·   TYPE C01   ·   58 Units</t>
  </si>
  <si>
    <t>★  All quantities are live-linked from BOQ_Matrix row 157. Edit dimensions in BOQ_Matrix; this sheet updates automatically.</t>
  </si>
  <si>
    <t>#</t>
  </si>
  <si>
    <t>Material ID</t>
  </si>
  <si>
    <t>Description / Specification</t>
  </si>
  <si>
    <t>Total
Quantity</t>
  </si>
  <si>
    <t>Sheet Size
(m²)</t>
  </si>
  <si>
    <t>Sheets
Needed</t>
  </si>
  <si>
    <t>6mm_mdf</t>
  </si>
  <si>
    <t>6mm Both-Face Melamine MR MDF Sheet</t>
  </si>
  <si>
    <t>Per m² supplied</t>
  </si>
  <si>
    <t>9mm_mdf</t>
  </si>
  <si>
    <t>9mm Both-Face Melamine MR MDF Sheet</t>
  </si>
  <si>
    <t>12mm_mdf</t>
  </si>
  <si>
    <t>12mm Both-Face Melamine MR MDF Sheet</t>
  </si>
  <si>
    <t>18mm_mdf</t>
  </si>
  <si>
    <t>18mm Both-Face Melamine MR MDF Sheet</t>
  </si>
  <si>
    <t>18mm_plain_mdf</t>
  </si>
  <si>
    <t>18mm Plain MR MDF Sheet</t>
  </si>
  <si>
    <t>plywood</t>
  </si>
  <si>
    <t>25mm_mdf</t>
  </si>
  <si>
    <t>pl01_laminate</t>
  </si>
  <si>
    <t>PL-01 Laminate (0.8mm)</t>
  </si>
  <si>
    <t>Per m² supplied &amp; bonded</t>
  </si>
  <si>
    <t>hinges</t>
  </si>
  <si>
    <t>Full Overlay Hinges</t>
  </si>
  <si>
    <t>Nr / Pr</t>
  </si>
  <si>
    <t>Per hinge supplied &amp; fixed</t>
  </si>
  <si>
    <t>drawer_runners</t>
  </si>
  <si>
    <t>Drawer Runner (0.5m)</t>
  </si>
  <si>
    <t>Per pair supplied &amp; fixed</t>
  </si>
  <si>
    <t>pvc_lipping_25mm</t>
  </si>
  <si>
    <t>Per LM supplied &amp; glued</t>
  </si>
  <si>
    <t>pvc_lipping_18mm</t>
  </si>
  <si>
    <t>INSTALLED FIXTURES  ·  SCHEDULE OF QUANTITIES</t>
  </si>
  <si>
    <t>Item No</t>
  </si>
  <si>
    <t>Sheet size basis: 2.88 m² per board  ·  Sheets Needed rounds UP to whole boards  ·  Count/Linear/Volume items show actual quantities.</t>
  </si>
  <si>
    <t>COST BREAKDOWN  ·  MATERIAL QUANTITIES × UNIT RATES</t>
  </si>
  <si>
    <t>AL WAHA RESIDENCE 01   ·   EXPO CITY DUBAI   ·   TYPE C01   ·   58 Units   ·   Currency: AED   ·   VAT: 5%</t>
  </si>
  <si>
    <t>★  Unit rates in column G are pre-filled where cost data exists in the source JSON. Amber cells = contractor to fill. Green cells = rate from data. Amount = Total Qty × Unit Rate.</t>
  </si>
  <si>
    <t>Total Qty</t>
  </si>
  <si>
    <t>Unit Rate
(AED / unit)</t>
  </si>
  <si>
    <t>Amount
(AED)</t>
  </si>
  <si>
    <t>Notes</t>
  </si>
  <si>
    <t>INSTALLED FIXTURES  ·  SUPPLY &amp; INSTALLATION RATES</t>
  </si>
  <si>
    <t>SUBTOTAL  (excl. VAT)</t>
  </si>
  <si>
    <t>VAT  (5%)</t>
  </si>
  <si>
    <t>GRAND TOTAL  (incl. VAT)</t>
  </si>
  <si>
    <t>Rates to be provided by tendering contractor.  All quantities are indicative and subject to field verification.  Currency: AED  ·  VAT @ 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</si>
</sst>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AED &quot;#,##0.00"/>
  </numFmts>
  <fonts count="36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i/>
      <sz val="10"/>
      <color rgb="FFC8A84B"/>
      <name val="Calibri"/>
      <family val="2"/>
    </font>
    <font>
      <b/>
      <sz val="10"/>
      <color rgb="FFC8A84B"/>
      <name val="Calibri"/>
      <family val="2"/>
    </font>
    <font>
      <b/>
      <sz val="9"/>
      <color rgb="FF6C7A8D"/>
      <name val="Calibri"/>
      <family val="2"/>
    </font>
    <font>
      <b/>
      <sz val="10"/>
      <color rgb="FF0D1B2A"/>
      <name val="Calibri"/>
      <family val="2"/>
    </font>
    <font>
      <b/>
      <sz val="9"/>
      <color rgb="FFFFFFFF"/>
      <name val="Calibri"/>
      <family val="2"/>
    </font>
    <font>
      <sz val="10"/>
      <color rgb="FF0D1B2A"/>
      <name val="Calibri"/>
      <family val="2"/>
    </font>
    <font>
      <sz val="10"/>
      <color rgb="FF1C1C1C"/>
      <name val="Calibri"/>
      <family val="2"/>
    </font>
    <font>
      <i/>
      <sz val="8"/>
      <color rgb="FF6C7A8D"/>
      <name val="Calibri"/>
      <family val="2"/>
    </font>
    <font>
      <b/>
      <sz val="14"/>
      <color rgb="FFFFFFFF"/>
      <name val="Calibri"/>
      <family val="2"/>
    </font>
    <font>
      <b/>
      <sz val="11"/>
      <color rgb="FF1A3A5C"/>
      <name val="Calibri"/>
      <family val="2"/>
    </font>
    <font>
      <b/>
      <sz val="11"/>
      <color rgb="FFC8A84B"/>
      <name val="Calibri"/>
      <family val="2"/>
    </font>
    <font>
      <i/>
      <sz val="10"/>
      <color rgb="FFB8962E"/>
      <name val="Calibri"/>
      <family val="2"/>
    </font>
    <font>
      <b/>
      <sz val="11"/>
      <color rgb="FFFFFFFF"/>
      <name val="Calibri"/>
      <family val="2"/>
    </font>
    <font>
      <b/>
      <sz val="11"/>
      <color rgb="FF0D1B2A"/>
      <name val="Calibri"/>
      <family val="2"/>
    </font>
    <font>
      <sz val="10"/>
      <color rgb="FF2C3E50"/>
      <name val="Calibri"/>
      <family val="2"/>
    </font>
    <font>
      <sz val="10"/>
      <color rgb="FF5A6C7D"/>
      <name val="Calibri"/>
      <family val="2"/>
    </font>
    <font>
      <sz val="10"/>
      <color rgb="FF3A5C8A"/>
      <name val="Calibri"/>
      <family val="2"/>
    </font>
    <font>
      <b/>
      <sz val="10"/>
      <color rgb="FF1A5C3A"/>
      <name val="Calibri"/>
      <family val="2"/>
    </font>
    <font>
      <sz val="10"/>
      <color rgb="FF2A6496"/>
      <name val="Calibri"/>
      <family val="2"/>
    </font>
    <font>
      <i/>
      <sz val="9"/>
      <color rgb="FF8A9BAE"/>
      <name val="Calibri"/>
      <family val="2"/>
    </font>
    <font>
      <b/>
      <sz val="10"/>
      <color rgb="FFB8962E"/>
      <name val="Calibri"/>
      <family val="2"/>
    </font>
    <font>
      <sz val="11"/>
      <color rgb="FF2C3E50"/>
      <name val="Calibri"/>
      <family val="2"/>
    </font>
    <font>
      <b/>
      <sz val="11"/>
      <color rgb="FF1C1C1C"/>
      <name val="Calibri"/>
      <family val="2"/>
    </font>
    <font>
      <sz val="11"/>
      <color rgb="FF1C1C1C"/>
      <name val="Calibri"/>
      <family val="2"/>
    </font>
    <font>
      <b/>
      <sz val="13"/>
      <color rgb="FFFF0000"/>
      <name val="Calibri"/>
      <family val="2"/>
    </font>
    <font>
      <i/>
      <sz val="9"/>
      <color rgb="FF6C7A8D"/>
      <name val="Calibri"/>
      <family val="2"/>
    </font>
    <font>
      <b/>
      <sz val="10"/>
      <color rgb="FFFFFFFF"/>
      <name val="Calibri"/>
      <family val="2"/>
    </font>
    <font>
      <b/>
      <sz val="12"/>
      <color rgb="FFFFFFFF"/>
      <name val="Calibri"/>
      <family val="2"/>
    </font>
    <font>
      <b/>
      <sz val="12"/>
      <color rgb="FFB8962E"/>
      <name val="Calibri"/>
      <family val="2"/>
    </font>
    <font>
      <b/>
      <sz val="11"/>
      <color rgb="FF1A5C3A"/>
      <name val="Calibri"/>
      <family val="2"/>
    </font>
    <font>
      <sz val="10"/>
      <color rgb="FF6C7A8D"/>
      <name val="Calibri"/>
      <family val="2"/>
    </font>
    <font>
      <b/>
      <sz val="12"/>
      <color rgb="FFC8A84B"/>
      <name val="Calibri"/>
      <family val="2"/>
    </font>
    <font>
      <b/>
      <sz val="13"/>
      <color rgb="FFC8A84B"/>
      <name val="Calibri"/>
      <family val="2"/>
    </font>
    <font>
      <b/>
      <sz val="13"/>
      <color rgb="FFB8962E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8962E"/>
      </patternFill>
    </fill>
    <fill>
      <patternFill patternType="solid">
        <fgColor rgb="FF0D1B2A"/>
      </patternFill>
    </fill>
    <fill>
      <patternFill patternType="solid">
        <fgColor rgb="FF1A3A5C"/>
      </patternFill>
    </fill>
    <fill>
      <patternFill patternType="solid">
        <fgColor rgb="FF2C3E50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rgb="FFC8A84B"/>
      </patternFill>
    </fill>
    <fill>
      <patternFill patternType="solid">
        <fgColor rgb="FFE8F5E9"/>
      </patternFill>
    </fill>
    <fill>
      <patternFill patternType="solid">
        <fgColor rgb="FFEBF3FA"/>
      </patternFill>
    </fill>
    <fill>
      <patternFill patternType="solid">
        <fgColor rgb="FFF8F9FC"/>
      </patternFill>
    </fill>
    <fill>
      <patternFill patternType="solid">
        <fgColor rgb="FFFFF8E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BF5FB"/>
      </patternFill>
    </fill>
    <fill>
      <patternFill patternType="solid">
        <fgColor rgb="FFF0F2F5"/>
      </patternFill>
    </fill>
    <fill>
      <patternFill patternType="solid">
        <fgColor rgb="FFF2F4F8"/>
      </patternFill>
    </fill>
    <fill>
      <patternFill patternType="solid">
        <fgColor rgb="FFD6F0E0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B8962E"/>
      </bottom>
      <diagonal/>
    </border>
    <border>
      <left/>
      <right/>
      <top/>
      <bottom style="medium">
        <color rgb="FFB8962E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/>
      <bottom style="thin">
        <color rgb="FFDDEEFF"/>
      </bottom>
      <diagonal/>
    </border>
    <border>
      <left style="medium">
        <color rgb="FFB8962E"/>
      </left>
      <right/>
      <top/>
      <bottom style="thin">
        <color rgb="FFDDEEFF"/>
      </bottom>
      <diagonal/>
    </border>
    <border>
      <left/>
      <right style="medium">
        <color rgb="FFB8962E"/>
      </right>
      <top/>
      <bottom style="thin">
        <color rgb="FFDDEEFF"/>
      </bottom>
      <diagonal/>
    </border>
    <border>
      <left/>
      <right/>
      <top/>
      <bottom style="thin">
        <color rgb="FFE8E8E8"/>
      </bottom>
      <diagonal/>
    </border>
    <border>
      <left style="medium">
        <color rgb="FFB8962E"/>
      </left>
      <right/>
      <top/>
      <bottom style="thin">
        <color rgb="FFE8E8E8"/>
      </bottom>
      <diagonal/>
    </border>
    <border>
      <left/>
      <right style="medium">
        <color rgb="FFB8962E"/>
      </right>
      <top/>
      <bottom style="thin">
        <color rgb="FFE8E8E8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medium">
        <color rgb="FFB8962E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medium">
        <color rgb="FFC8A84B"/>
      </left>
      <right style="medium">
        <color rgb="FFC8A84B"/>
      </right>
      <top style="medium">
        <color rgb="FFC8A84B"/>
      </top>
      <bottom style="medium">
        <color rgb="FFC8A84B"/>
      </bottom>
      <diagonal/>
    </border>
    <border>
      <left style="medium">
        <color rgb="FFB8962E"/>
      </left>
      <right style="medium">
        <color rgb="FFB8962E"/>
      </right>
      <top style="thin">
        <color rgb="FFB8962E"/>
      </top>
      <bottom style="thin">
        <color rgb="FFB8962E"/>
      </bottom>
      <diagonal/>
    </border>
    <border>
      <left style="thin">
        <color rgb="FFEEF2F7"/>
      </left>
      <right style="thin">
        <color rgb="FFEEF2F7"/>
      </right>
      <top style="thin">
        <color rgb="FFEEF2F7"/>
      </top>
      <bottom style="thin">
        <color rgb="FFEEF2F7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thin">
        <color rgb="FFC8A84B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thin">
        <color rgb="FFE8EDF5"/>
      </left>
      <right style="thin">
        <color rgb="FFE8EDF5"/>
      </right>
      <top style="thin">
        <color rgb="FFE8EDF5"/>
      </top>
      <bottom style="thin">
        <color rgb="FFE8EDF5"/>
      </bottom>
      <diagonal/>
    </border>
    <border>
      <left/>
      <right/>
      <top/>
      <bottom style="thin">
        <color rgb="FFE0C060"/>
      </bottom>
      <diagonal/>
    </border>
    <border>
      <left/>
      <right/>
      <top style="thin">
        <color rgb="FFE8EDF5"/>
      </top>
      <bottom style="thin">
        <color rgb="FFE8EDF5"/>
      </bottom>
      <diagonal/>
    </border>
    <border>
      <left/>
      <right style="thin">
        <color rgb="FFE8EDF5"/>
      </right>
      <top style="thin">
        <color rgb="FFE8EDF5"/>
      </top>
      <bottom style="thin">
        <color rgb="FFE8EDF5"/>
      </bottom>
      <diagonal/>
    </border>
    <border>
      <left style="thin">
        <color rgb="FFDDE3EE"/>
      </left>
      <right style="thin">
        <color rgb="FFDDE3EE"/>
      </right>
      <top style="thin">
        <color rgb="FFDDE3EE"/>
      </top>
      <bottom style="thin">
        <color rgb="FFDDE3EE"/>
      </bottom>
      <diagonal/>
    </border>
    <border>
      <left/>
      <right/>
      <top style="thin">
        <color rgb="FFDDE3EE"/>
      </top>
      <bottom style="thin">
        <color rgb="FFDDE3EE"/>
      </bottom>
      <diagonal/>
    </border>
    <border>
      <left/>
      <right style="thin">
        <color rgb="FFDDE3EE"/>
      </right>
      <top style="thin">
        <color rgb="FFDDE3EE"/>
      </top>
      <bottom style="thin">
        <color rgb="FFDDE3EE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medium">
        <color rgb="FFB8962E"/>
      </left>
      <right style="medium">
        <color rgb="FFB8962E"/>
      </right>
      <top style="medium">
        <color rgb="FFB8962E"/>
      </top>
      <bottom style="medium">
        <color rgb="FFB8962E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4" borderId="0" xfId="0" applyFill="1"/>
    <xf numFmtId="0" fontId="0" fillId="2" borderId="3" xfId="0" applyFill="1" applyBorder="1"/>
    <xf numFmtId="0" fontId="0" fillId="5" borderId="3" xfId="0" applyFill="1" applyBorder="1"/>
    <xf numFmtId="0" fontId="0" fillId="2" borderId="5" xfId="0" applyFill="1" applyBorder="1"/>
    <xf numFmtId="0" fontId="4" fillId="6" borderId="6" xfId="0" applyFont="1" applyFill="1" applyBorder="1" applyAlignment="1">
      <alignment horizontal="left" vertical="center"/>
    </xf>
    <xf numFmtId="0" fontId="0" fillId="6" borderId="5" xfId="0" applyFill="1" applyBorder="1"/>
    <xf numFmtId="0" fontId="0" fillId="2" borderId="8" xfId="0" applyFill="1" applyBorder="1"/>
    <xf numFmtId="0" fontId="4" fillId="7" borderId="9" xfId="0" applyFont="1" applyFill="1" applyBorder="1" applyAlignment="1">
      <alignment horizontal="left" vertical="center"/>
    </xf>
    <xf numFmtId="0" fontId="0" fillId="7" borderId="8" xfId="0" applyFill="1" applyBorder="1"/>
    <xf numFmtId="0" fontId="0" fillId="2" borderId="11" xfId="0" applyFill="1" applyBorder="1"/>
    <xf numFmtId="0" fontId="6" fillId="4" borderId="11" xfId="0" applyFont="1" applyFill="1" applyBorder="1" applyAlignment="1">
      <alignment horizontal="center" vertical="center"/>
    </xf>
    <xf numFmtId="0" fontId="0" fillId="4" borderId="11" xfId="0" applyFill="1" applyBorder="1"/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center" vertical="center"/>
    </xf>
    <xf numFmtId="0" fontId="0" fillId="7" borderId="17" xfId="0" applyFill="1" applyBorder="1"/>
    <xf numFmtId="0" fontId="0" fillId="4" borderId="1" xfId="0" applyFill="1" applyBorder="1"/>
    <xf numFmtId="0" fontId="11" fillId="4" borderId="1" xfId="0" applyFont="1" applyFill="1" applyBorder="1"/>
    <xf numFmtId="0" fontId="0" fillId="3" borderId="11" xfId="0" applyFill="1" applyBorder="1"/>
    <xf numFmtId="0" fontId="12" fillId="4" borderId="12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right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0" fillId="5" borderId="13" xfId="0" applyFill="1" applyBorder="1"/>
    <xf numFmtId="0" fontId="0" fillId="8" borderId="0" xfId="0" applyFill="1"/>
    <xf numFmtId="0" fontId="11" fillId="8" borderId="0" xfId="0" applyFont="1" applyFill="1" applyAlignment="1">
      <alignment horizontal="left" vertical="center"/>
    </xf>
    <xf numFmtId="164" fontId="15" fillId="9" borderId="14" xfId="0" applyNumberFormat="1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16" fillId="7" borderId="15" xfId="0" applyFont="1" applyFill="1" applyBorder="1" applyAlignment="1">
      <alignment horizontal="left" vertical="center" wrapText="1"/>
    </xf>
    <xf numFmtId="0" fontId="17" fillId="7" borderId="15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164" fontId="18" fillId="7" borderId="15" xfId="0" applyNumberFormat="1" applyFont="1" applyFill="1" applyBorder="1" applyAlignment="1">
      <alignment horizontal="center" vertical="center"/>
    </xf>
    <xf numFmtId="164" fontId="17" fillId="7" borderId="15" xfId="0" applyNumberFormat="1" applyFont="1" applyFill="1" applyBorder="1" applyAlignment="1">
      <alignment horizontal="center" vertical="center"/>
    </xf>
    <xf numFmtId="164" fontId="19" fillId="10" borderId="15" xfId="0" applyNumberFormat="1" applyFont="1" applyFill="1" applyBorder="1" applyAlignment="1">
      <alignment horizontal="center" vertical="center"/>
    </xf>
    <xf numFmtId="164" fontId="20" fillId="11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21" fillId="7" borderId="15" xfId="0" applyFont="1" applyFill="1" applyBorder="1" applyAlignment="1">
      <alignment horizontal="left" vertical="center" wrapText="1"/>
    </xf>
    <xf numFmtId="0" fontId="5" fillId="12" borderId="16" xfId="0" applyFont="1" applyFill="1" applyBorder="1" applyAlignment="1">
      <alignment horizontal="center" vertical="center"/>
    </xf>
    <xf numFmtId="0" fontId="16" fillId="12" borderId="16" xfId="0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164" fontId="18" fillId="12" borderId="16" xfId="0" applyNumberFormat="1" applyFont="1" applyFill="1" applyBorder="1" applyAlignment="1">
      <alignment horizontal="center" vertical="center"/>
    </xf>
    <xf numFmtId="164" fontId="17" fillId="12" borderId="16" xfId="0" applyNumberFormat="1" applyFont="1" applyFill="1" applyBorder="1" applyAlignment="1">
      <alignment horizontal="center" vertical="center"/>
    </xf>
    <xf numFmtId="164" fontId="19" fillId="10" borderId="16" xfId="0" applyNumberFormat="1" applyFont="1" applyFill="1" applyBorder="1" applyAlignment="1">
      <alignment horizontal="center" vertical="center"/>
    </xf>
    <xf numFmtId="164" fontId="20" fillId="11" borderId="16" xfId="0" applyNumberFormat="1" applyFont="1" applyFill="1" applyBorder="1" applyAlignment="1">
      <alignment horizontal="center" vertical="center"/>
    </xf>
    <xf numFmtId="0" fontId="0" fillId="12" borderId="16" xfId="0" applyFill="1" applyBorder="1"/>
    <xf numFmtId="0" fontId="21" fillId="12" borderId="16" xfId="0" applyFont="1" applyFill="1" applyBorder="1" applyAlignment="1">
      <alignment horizontal="left" vertical="center" wrapText="1"/>
    </xf>
    <xf numFmtId="0" fontId="22" fillId="13" borderId="16" xfId="0" applyFont="1" applyFill="1" applyBorder="1" applyAlignment="1">
      <alignment horizontal="center" vertical="center"/>
    </xf>
    <xf numFmtId="0" fontId="22" fillId="13" borderId="15" xfId="0" applyFont="1" applyFill="1" applyBorder="1" applyAlignment="1">
      <alignment horizontal="center" vertical="center"/>
    </xf>
    <xf numFmtId="164" fontId="22" fillId="12" borderId="16" xfId="0" applyNumberFormat="1" applyFont="1" applyFill="1" applyBorder="1" applyAlignment="1">
      <alignment horizontal="center" vertical="center"/>
    </xf>
    <xf numFmtId="0" fontId="23" fillId="8" borderId="14" xfId="0" applyFont="1" applyFill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164" fontId="25" fillId="14" borderId="17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15" borderId="17" xfId="0" applyFont="1" applyFill="1" applyBorder="1" applyAlignment="1">
      <alignment horizontal="center" vertical="center"/>
    </xf>
    <xf numFmtId="164" fontId="25" fillId="15" borderId="17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 wrapText="1"/>
    </xf>
    <xf numFmtId="0" fontId="14" fillId="4" borderId="19" xfId="0" applyFont="1" applyFill="1" applyBorder="1" applyAlignment="1">
      <alignment horizontal="left" vertical="center" wrapText="1"/>
    </xf>
    <xf numFmtId="0" fontId="28" fillId="4" borderId="19" xfId="0" applyFont="1" applyFill="1" applyBorder="1" applyAlignment="1">
      <alignment horizontal="center" vertical="center" wrapText="1"/>
    </xf>
    <xf numFmtId="0" fontId="0" fillId="5" borderId="11" xfId="0" applyFill="1" applyBorder="1"/>
    <xf numFmtId="0" fontId="6" fillId="4" borderId="19" xfId="0" applyFont="1" applyFill="1" applyBorder="1" applyAlignment="1">
      <alignment horizontal="left" vertical="center" wrapText="1"/>
    </xf>
    <xf numFmtId="0" fontId="0" fillId="2" borderId="21" xfId="0" applyFill="1" applyBorder="1"/>
    <xf numFmtId="0" fontId="5" fillId="7" borderId="20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left" vertical="center" wrapText="1"/>
    </xf>
    <xf numFmtId="0" fontId="17" fillId="7" borderId="20" xfId="0" applyFont="1" applyFill="1" applyBorder="1" applyAlignment="1">
      <alignment horizontal="center" vertical="center"/>
    </xf>
    <xf numFmtId="0" fontId="5" fillId="16" borderId="20" xfId="0" applyFont="1" applyFill="1" applyBorder="1" applyAlignment="1">
      <alignment horizontal="center" vertical="center"/>
    </xf>
    <xf numFmtId="1" fontId="19" fillId="10" borderId="20" xfId="0" applyNumberFormat="1" applyFont="1" applyFill="1" applyBorder="1" applyAlignment="1">
      <alignment horizontal="center" vertical="center"/>
    </xf>
    <xf numFmtId="0" fontId="21" fillId="7" borderId="20" xfId="0" applyFont="1" applyFill="1" applyBorder="1" applyAlignment="1">
      <alignment horizontal="left" vertical="center" wrapText="1"/>
    </xf>
    <xf numFmtId="0" fontId="5" fillId="18" borderId="24" xfId="0" applyFont="1" applyFill="1" applyBorder="1" applyAlignment="1">
      <alignment horizontal="center" vertical="center"/>
    </xf>
    <xf numFmtId="0" fontId="8" fillId="18" borderId="24" xfId="0" applyFont="1" applyFill="1" applyBorder="1" applyAlignment="1">
      <alignment horizontal="left" vertical="center" wrapText="1"/>
    </xf>
    <xf numFmtId="0" fontId="17" fillId="18" borderId="24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1" fontId="19" fillId="10" borderId="24" xfId="0" applyNumberFormat="1" applyFont="1" applyFill="1" applyBorder="1" applyAlignment="1">
      <alignment horizontal="center" vertical="center"/>
    </xf>
    <xf numFmtId="0" fontId="21" fillId="18" borderId="24" xfId="0" applyFont="1" applyFill="1" applyBorder="1" applyAlignment="1">
      <alignment horizontal="left" vertical="center" wrapText="1"/>
    </xf>
    <xf numFmtId="0" fontId="29" fillId="3" borderId="13" xfId="0" applyFont="1" applyFill="1" applyBorder="1" applyAlignment="1">
      <alignment horizontal="center" vertical="center"/>
    </xf>
    <xf numFmtId="164" fontId="30" fillId="3" borderId="13" xfId="0" applyNumberFormat="1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 wrapText="1"/>
    </xf>
    <xf numFmtId="0" fontId="0" fillId="3" borderId="0" xfId="0" applyFill="1"/>
    <xf numFmtId="0" fontId="0" fillId="6" borderId="0" xfId="0" applyFill="1"/>
    <xf numFmtId="0" fontId="5" fillId="6" borderId="6" xfId="0" applyFont="1" applyFill="1" applyBorder="1" applyAlignment="1">
      <alignment horizontal="center" vertical="center"/>
    </xf>
    <xf numFmtId="0" fontId="27" fillId="6" borderId="27" xfId="0" applyFont="1" applyFill="1" applyBorder="1" applyAlignment="1">
      <alignment horizontal="left" vertical="center"/>
    </xf>
    <xf numFmtId="0" fontId="8" fillId="6" borderId="27" xfId="0" applyFont="1" applyFill="1" applyBorder="1" applyAlignment="1">
      <alignment horizontal="left" vertical="center" wrapText="1"/>
    </xf>
    <xf numFmtId="0" fontId="17" fillId="6" borderId="27" xfId="0" applyFont="1" applyFill="1" applyBorder="1" applyAlignment="1">
      <alignment horizontal="center" vertical="center"/>
    </xf>
    <xf numFmtId="164" fontId="31" fillId="10" borderId="27" xfId="0" applyNumberFormat="1" applyFont="1" applyFill="1" applyBorder="1" applyAlignment="1">
      <alignment horizontal="center" vertical="center"/>
    </xf>
    <xf numFmtId="2" fontId="16" fillId="13" borderId="27" xfId="0" applyNumberFormat="1" applyFont="1" applyFill="1" applyBorder="1" applyAlignment="1">
      <alignment horizontal="center" vertical="center"/>
    </xf>
    <xf numFmtId="1" fontId="15" fillId="6" borderId="27" xfId="0" applyNumberFormat="1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left" vertical="center" wrapText="1"/>
    </xf>
    <xf numFmtId="0" fontId="5" fillId="7" borderId="9" xfId="0" applyFont="1" applyFill="1" applyBorder="1" applyAlignment="1">
      <alignment horizontal="center" vertical="center"/>
    </xf>
    <xf numFmtId="0" fontId="27" fillId="7" borderId="28" xfId="0" applyFont="1" applyFill="1" applyBorder="1" applyAlignment="1">
      <alignment horizontal="left" vertical="center"/>
    </xf>
    <xf numFmtId="0" fontId="8" fillId="7" borderId="28" xfId="0" applyFont="1" applyFill="1" applyBorder="1" applyAlignment="1">
      <alignment horizontal="left" vertical="center" wrapText="1"/>
    </xf>
    <xf numFmtId="0" fontId="17" fillId="7" borderId="28" xfId="0" applyFont="1" applyFill="1" applyBorder="1" applyAlignment="1">
      <alignment horizontal="center" vertical="center"/>
    </xf>
    <xf numFmtId="164" fontId="31" fillId="10" borderId="28" xfId="0" applyNumberFormat="1" applyFont="1" applyFill="1" applyBorder="1" applyAlignment="1">
      <alignment horizontal="center" vertical="center"/>
    </xf>
    <xf numFmtId="2" fontId="16" fillId="13" borderId="28" xfId="0" applyNumberFormat="1" applyFont="1" applyFill="1" applyBorder="1" applyAlignment="1">
      <alignment horizontal="center" vertical="center"/>
    </xf>
    <xf numFmtId="1" fontId="15" fillId="6" borderId="28" xfId="0" applyNumberFormat="1" applyFont="1" applyFill="1" applyBorder="1" applyAlignment="1">
      <alignment horizontal="center" vertical="center"/>
    </xf>
    <xf numFmtId="0" fontId="21" fillId="7" borderId="10" xfId="0" applyFont="1" applyFill="1" applyBorder="1" applyAlignment="1">
      <alignment horizontal="left" vertical="center" wrapText="1"/>
    </xf>
    <xf numFmtId="0" fontId="32" fillId="6" borderId="27" xfId="0" applyFont="1" applyFill="1" applyBorder="1" applyAlignment="1">
      <alignment horizontal="center" vertical="center"/>
    </xf>
    <xf numFmtId="0" fontId="32" fillId="7" borderId="28" xfId="0" applyFont="1" applyFill="1" applyBorder="1" applyAlignment="1">
      <alignment horizontal="center" vertical="center"/>
    </xf>
    <xf numFmtId="1" fontId="5" fillId="10" borderId="28" xfId="0" applyNumberFormat="1" applyFont="1" applyFill="1" applyBorder="1" applyAlignment="1">
      <alignment horizontal="center" vertical="center"/>
    </xf>
    <xf numFmtId="1" fontId="31" fillId="10" borderId="28" xfId="0" applyNumberFormat="1" applyFont="1" applyFill="1" applyBorder="1" applyAlignment="1">
      <alignment horizontal="center" vertical="center"/>
    </xf>
    <xf numFmtId="1" fontId="5" fillId="10" borderId="27" xfId="0" applyNumberFormat="1" applyFont="1" applyFill="1" applyBorder="1" applyAlignment="1">
      <alignment horizontal="center" vertical="center"/>
    </xf>
    <xf numFmtId="1" fontId="31" fillId="10" borderId="27" xfId="0" applyNumberFormat="1" applyFont="1" applyFill="1" applyBorder="1" applyAlignment="1">
      <alignment horizontal="center" vertical="center"/>
    </xf>
    <xf numFmtId="165" fontId="31" fillId="19" borderId="14" xfId="0" applyNumberFormat="1" applyFont="1" applyFill="1" applyBorder="1" applyAlignment="1">
      <alignment horizontal="center" vertical="center"/>
    </xf>
    <xf numFmtId="165" fontId="15" fillId="6" borderId="27" xfId="0" applyNumberFormat="1" applyFont="1" applyFill="1" applyBorder="1" applyAlignment="1">
      <alignment horizontal="center" vertical="center"/>
    </xf>
    <xf numFmtId="165" fontId="15" fillId="6" borderId="28" xfId="0" applyNumberFormat="1" applyFont="1" applyFill="1" applyBorder="1" applyAlignment="1">
      <alignment horizontal="center" vertical="center"/>
    </xf>
    <xf numFmtId="0" fontId="0" fillId="5" borderId="0" xfId="0" applyFill="1"/>
    <xf numFmtId="165" fontId="1" fillId="5" borderId="29" xfId="0" applyNumberFormat="1" applyFont="1" applyFill="1" applyBorder="1" applyAlignment="1">
      <alignment horizontal="center" vertical="center"/>
    </xf>
    <xf numFmtId="165" fontId="34" fillId="4" borderId="29" xfId="0" applyNumberFormat="1" applyFont="1" applyFill="1" applyBorder="1" applyAlignment="1">
      <alignment horizontal="center" vertical="center"/>
    </xf>
    <xf numFmtId="165" fontId="35" fillId="3" borderId="29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0" fillId="0" borderId="0" xfId="0"/>
    <xf numFmtId="0" fontId="5" fillId="7" borderId="10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0" fillId="0" borderId="4" xfId="0" applyBorder="1"/>
    <xf numFmtId="0" fontId="2" fillId="4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27" fillId="5" borderId="11" xfId="0" applyFont="1" applyFill="1" applyBorder="1" applyAlignment="1">
      <alignment horizontal="center" vertical="center"/>
    </xf>
    <xf numFmtId="0" fontId="0" fillId="0" borderId="18" xfId="0" applyBorder="1"/>
    <xf numFmtId="0" fontId="27" fillId="18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27" fillId="17" borderId="24" xfId="0" applyFont="1" applyFill="1" applyBorder="1" applyAlignment="1">
      <alignment horizontal="center" vertical="center"/>
    </xf>
    <xf numFmtId="0" fontId="27" fillId="7" borderId="20" xfId="0" applyFont="1" applyFill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27" fillId="17" borderId="20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2" fillId="5" borderId="1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27" fillId="6" borderId="0" xfId="0" applyFont="1" applyFill="1" applyAlignment="1">
      <alignment horizontal="left" vertical="center"/>
    </xf>
    <xf numFmtId="0" fontId="33" fillId="4" borderId="11" xfId="0" applyFont="1" applyFill="1" applyBorder="1" applyAlignment="1">
      <alignment horizontal="right" vertical="center"/>
    </xf>
    <xf numFmtId="0" fontId="29" fillId="3" borderId="11" xfId="0" applyFont="1" applyFill="1" applyBorder="1" applyAlignment="1">
      <alignment horizontal="right" vertical="center"/>
    </xf>
    <xf numFmtId="0" fontId="29" fillId="5" borderId="1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showGridLines="0" workbookViewId="0"/>
  </sheetViews>
  <sheetFormatPr defaultRowHeight="14.4" x14ac:dyDescent="0.3"/>
  <cols>
    <col min="1" max="1" width="3.44140625" customWidth="1"/>
    <col min="2" max="2" width="22" customWidth="1"/>
    <col min="3" max="3" width="36" customWidth="1"/>
    <col min="4" max="5" width="16" customWidth="1"/>
    <col min="6" max="6" width="3.44140625" customWidth="1"/>
  </cols>
  <sheetData>
    <row r="1" spans="1:6" ht="4.05" customHeight="1" x14ac:dyDescent="0.3">
      <c r="A1" s="1"/>
      <c r="B1" s="1"/>
      <c r="C1" s="1"/>
      <c r="D1" s="1"/>
      <c r="E1" s="1"/>
      <c r="F1" s="1"/>
    </row>
    <row r="2" spans="1:6" ht="36" customHeight="1" x14ac:dyDescent="0.3">
      <c r="A2" s="2"/>
      <c r="B2" s="124" t="s">
        <v>0</v>
      </c>
      <c r="C2" s="125"/>
      <c r="D2" s="125"/>
      <c r="E2" s="125"/>
      <c r="F2" s="3"/>
    </row>
    <row r="3" spans="1:6" ht="19.95" customHeight="1" x14ac:dyDescent="0.3">
      <c r="A3" s="1"/>
      <c r="B3" s="122" t="s">
        <v>1</v>
      </c>
      <c r="C3" s="118"/>
      <c r="D3" s="118"/>
      <c r="E3" s="118"/>
      <c r="F3" s="4"/>
    </row>
    <row r="4" spans="1:6" ht="3" customHeight="1" x14ac:dyDescent="0.3">
      <c r="A4" s="1"/>
      <c r="B4" s="1"/>
      <c r="C4" s="1"/>
      <c r="D4" s="1"/>
      <c r="E4" s="1"/>
      <c r="F4" s="1"/>
    </row>
    <row r="5" spans="1:6" ht="25.95" customHeight="1" x14ac:dyDescent="0.3">
      <c r="A5" s="5"/>
      <c r="B5" s="120" t="s">
        <v>2</v>
      </c>
      <c r="C5" s="121"/>
      <c r="D5" s="121"/>
      <c r="E5" s="121"/>
      <c r="F5" s="6"/>
    </row>
    <row r="6" spans="1:6" ht="22.05" customHeight="1" x14ac:dyDescent="0.3">
      <c r="A6" s="7"/>
      <c r="B6" s="8" t="s">
        <v>3</v>
      </c>
      <c r="C6" s="117" t="s">
        <v>4</v>
      </c>
      <c r="D6" s="118"/>
      <c r="E6" s="118"/>
      <c r="F6" s="9"/>
    </row>
    <row r="7" spans="1:6" ht="22.05" customHeight="1" x14ac:dyDescent="0.3">
      <c r="A7" s="10"/>
      <c r="B7" s="11" t="s">
        <v>5</v>
      </c>
      <c r="C7" s="119" t="s">
        <v>6</v>
      </c>
      <c r="D7" s="118"/>
      <c r="E7" s="118"/>
      <c r="F7" s="12"/>
    </row>
    <row r="8" spans="1:6" ht="22.05" customHeight="1" x14ac:dyDescent="0.3">
      <c r="A8" s="7"/>
      <c r="B8" s="8" t="s">
        <v>7</v>
      </c>
      <c r="C8" s="117" t="s">
        <v>8</v>
      </c>
      <c r="D8" s="118"/>
      <c r="E8" s="118"/>
      <c r="F8" s="9"/>
    </row>
    <row r="9" spans="1:6" ht="22.05" customHeight="1" x14ac:dyDescent="0.3">
      <c r="A9" s="10"/>
      <c r="B9" s="11" t="s">
        <v>9</v>
      </c>
      <c r="C9" s="119" t="s">
        <v>10</v>
      </c>
      <c r="D9" s="118"/>
      <c r="E9" s="118"/>
      <c r="F9" s="12"/>
    </row>
    <row r="10" spans="1:6" ht="22.05" customHeight="1" x14ac:dyDescent="0.3">
      <c r="A10" s="7"/>
      <c r="B10" s="8" t="s">
        <v>11</v>
      </c>
      <c r="C10" s="117">
        <v>58</v>
      </c>
      <c r="D10" s="118"/>
      <c r="E10" s="118"/>
      <c r="F10" s="9"/>
    </row>
    <row r="11" spans="1:6" ht="22.05" customHeight="1" x14ac:dyDescent="0.3">
      <c r="A11" s="10"/>
      <c r="B11" s="11" t="s">
        <v>12</v>
      </c>
      <c r="C11" s="119" t="s">
        <v>13</v>
      </c>
      <c r="D11" s="118"/>
      <c r="E11" s="118"/>
      <c r="F11" s="12"/>
    </row>
    <row r="12" spans="1:6" ht="22.05" customHeight="1" x14ac:dyDescent="0.3">
      <c r="A12" s="7"/>
      <c r="B12" s="8" t="s">
        <v>14</v>
      </c>
      <c r="C12" s="117" t="s">
        <v>15</v>
      </c>
      <c r="D12" s="118"/>
      <c r="E12" s="118"/>
      <c r="F12" s="9"/>
    </row>
    <row r="13" spans="1:6" ht="22.05" customHeight="1" x14ac:dyDescent="0.3">
      <c r="A13" s="10"/>
      <c r="B13" s="11" t="s">
        <v>16</v>
      </c>
      <c r="C13" s="119" t="s">
        <v>17</v>
      </c>
      <c r="D13" s="118"/>
      <c r="E13" s="118"/>
      <c r="F13" s="12"/>
    </row>
    <row r="14" spans="1:6" ht="7.95" customHeight="1" x14ac:dyDescent="0.3"/>
    <row r="15" spans="1:6" ht="25.95" customHeight="1" x14ac:dyDescent="0.3">
      <c r="A15" s="5"/>
      <c r="B15" s="120" t="s">
        <v>18</v>
      </c>
      <c r="C15" s="121"/>
      <c r="D15" s="121"/>
      <c r="E15" s="121"/>
      <c r="F15" s="6"/>
    </row>
    <row r="16" spans="1:6" ht="22.05" customHeight="1" x14ac:dyDescent="0.3">
      <c r="A16" s="7"/>
      <c r="B16" s="8" t="s">
        <v>19</v>
      </c>
      <c r="C16" s="117" t="s">
        <v>20</v>
      </c>
      <c r="D16" s="118"/>
      <c r="E16" s="118"/>
      <c r="F16" s="9"/>
    </row>
    <row r="17" spans="1:6" ht="22.05" customHeight="1" x14ac:dyDescent="0.3">
      <c r="A17" s="10"/>
      <c r="B17" s="11" t="s">
        <v>21</v>
      </c>
      <c r="C17" s="119" t="s">
        <v>22</v>
      </c>
      <c r="D17" s="118"/>
      <c r="E17" s="118"/>
      <c r="F17" s="12"/>
    </row>
    <row r="18" spans="1:6" ht="22.05" customHeight="1" x14ac:dyDescent="0.3">
      <c r="A18" s="7"/>
      <c r="B18" s="8" t="s">
        <v>23</v>
      </c>
      <c r="C18" s="117" t="s">
        <v>24</v>
      </c>
      <c r="D18" s="118"/>
      <c r="E18" s="118"/>
      <c r="F18" s="9"/>
    </row>
    <row r="19" spans="1:6" ht="22.05" customHeight="1" x14ac:dyDescent="0.3">
      <c r="A19" s="10"/>
      <c r="B19" s="11" t="s">
        <v>25</v>
      </c>
      <c r="C19" s="119" t="s">
        <v>26</v>
      </c>
      <c r="D19" s="118"/>
      <c r="E19" s="118"/>
      <c r="F19" s="12"/>
    </row>
    <row r="20" spans="1:6" ht="7.95" customHeight="1" x14ac:dyDescent="0.3"/>
    <row r="21" spans="1:6" ht="25.95" customHeight="1" x14ac:dyDescent="0.3">
      <c r="A21" s="5"/>
      <c r="B21" s="120" t="s">
        <v>27</v>
      </c>
      <c r="C21" s="121"/>
      <c r="D21" s="121"/>
      <c r="E21" s="121"/>
      <c r="F21" s="6"/>
    </row>
    <row r="22" spans="1:6" ht="25.95" customHeight="1" x14ac:dyDescent="0.3">
      <c r="A22" s="13"/>
      <c r="B22" s="14" t="s">
        <v>28</v>
      </c>
      <c r="C22" s="14" t="s">
        <v>29</v>
      </c>
      <c r="D22" s="14" t="s">
        <v>30</v>
      </c>
      <c r="E22" s="14" t="s">
        <v>31</v>
      </c>
      <c r="F22" s="15"/>
    </row>
    <row r="23" spans="1:6" ht="22.05" customHeight="1" x14ac:dyDescent="0.3">
      <c r="A23" s="7"/>
      <c r="B23" s="16" t="s">
        <v>32</v>
      </c>
      <c r="C23" s="17" t="s">
        <v>33</v>
      </c>
      <c r="D23" s="18" t="s">
        <v>33</v>
      </c>
      <c r="E23" s="19">
        <v>6</v>
      </c>
      <c r="F23" s="9"/>
    </row>
    <row r="24" spans="1:6" ht="22.05" customHeight="1" x14ac:dyDescent="0.3">
      <c r="A24" s="10"/>
      <c r="B24" s="20" t="s">
        <v>34</v>
      </c>
      <c r="C24" s="21" t="s">
        <v>33</v>
      </c>
      <c r="D24" s="22" t="s">
        <v>33</v>
      </c>
      <c r="E24" s="23">
        <v>4</v>
      </c>
      <c r="F24" s="12"/>
    </row>
    <row r="25" spans="1:6" ht="22.05" customHeight="1" x14ac:dyDescent="0.3">
      <c r="A25" s="7"/>
      <c r="B25" s="16" t="s">
        <v>35</v>
      </c>
      <c r="C25" s="17" t="s">
        <v>33</v>
      </c>
      <c r="D25" s="18" t="s">
        <v>33</v>
      </c>
      <c r="E25" s="19">
        <v>5</v>
      </c>
      <c r="F25" s="9"/>
    </row>
    <row r="26" spans="1:6" ht="22.05" customHeight="1" x14ac:dyDescent="0.3">
      <c r="A26" s="10"/>
      <c r="B26" s="20" t="s">
        <v>36</v>
      </c>
      <c r="C26" s="21" t="s">
        <v>33</v>
      </c>
      <c r="D26" s="22" t="s">
        <v>33</v>
      </c>
      <c r="E26" s="23">
        <v>6</v>
      </c>
      <c r="F26" s="12"/>
    </row>
    <row r="27" spans="1:6" ht="22.05" customHeight="1" x14ac:dyDescent="0.3">
      <c r="A27" s="7"/>
      <c r="B27" s="16" t="s">
        <v>37</v>
      </c>
      <c r="C27" s="17" t="s">
        <v>33</v>
      </c>
      <c r="D27" s="18" t="s">
        <v>33</v>
      </c>
      <c r="E27" s="19">
        <v>5</v>
      </c>
      <c r="F27" s="9"/>
    </row>
    <row r="28" spans="1:6" ht="7.95" customHeight="1" x14ac:dyDescent="0.3"/>
    <row r="29" spans="1:6" ht="25.95" customHeight="1" x14ac:dyDescent="0.3">
      <c r="A29" s="5"/>
      <c r="B29" s="120" t="s">
        <v>38</v>
      </c>
      <c r="C29" s="121"/>
      <c r="D29" s="121"/>
      <c r="E29" s="121"/>
      <c r="F29" s="6"/>
    </row>
    <row r="30" spans="1:6" ht="22.05" customHeight="1" x14ac:dyDescent="0.3">
      <c r="A30" s="7"/>
      <c r="B30" s="8" t="s">
        <v>39</v>
      </c>
      <c r="C30" s="117" t="s">
        <v>40</v>
      </c>
      <c r="D30" s="118"/>
      <c r="E30" s="118"/>
      <c r="F30" s="9"/>
    </row>
    <row r="31" spans="1:6" ht="22.05" customHeight="1" x14ac:dyDescent="0.3">
      <c r="A31" s="10"/>
      <c r="B31" s="11" t="s">
        <v>41</v>
      </c>
      <c r="C31" s="119" t="s">
        <v>42</v>
      </c>
      <c r="D31" s="118"/>
      <c r="E31" s="118"/>
      <c r="F31" s="12"/>
    </row>
    <row r="32" spans="1:6" ht="22.05" customHeight="1" x14ac:dyDescent="0.3">
      <c r="A32" s="7"/>
      <c r="B32" s="8" t="s">
        <v>43</v>
      </c>
      <c r="C32" s="117" t="s">
        <v>44</v>
      </c>
      <c r="D32" s="118"/>
      <c r="E32" s="118"/>
      <c r="F32" s="9"/>
    </row>
    <row r="33" spans="1:6" ht="22.05" customHeight="1" x14ac:dyDescent="0.3">
      <c r="A33" s="10"/>
      <c r="B33" s="11" t="s">
        <v>45</v>
      </c>
      <c r="C33" s="119" t="s">
        <v>46</v>
      </c>
      <c r="D33" s="118"/>
      <c r="E33" s="118"/>
      <c r="F33" s="12"/>
    </row>
    <row r="34" spans="1:6" ht="22.05" customHeight="1" x14ac:dyDescent="0.3">
      <c r="A34" s="7"/>
      <c r="B34" s="8" t="s">
        <v>47</v>
      </c>
      <c r="C34" s="117" t="s">
        <v>48</v>
      </c>
      <c r="D34" s="118"/>
      <c r="E34" s="118"/>
      <c r="F34" s="9"/>
    </row>
    <row r="35" spans="1:6" ht="7.95" customHeight="1" x14ac:dyDescent="0.3"/>
    <row r="36" spans="1:6" ht="25.95" customHeight="1" x14ac:dyDescent="0.3">
      <c r="A36" s="5"/>
      <c r="B36" s="120" t="s">
        <v>49</v>
      </c>
      <c r="C36" s="121"/>
      <c r="D36" s="121"/>
      <c r="E36" s="121"/>
      <c r="F36" s="6"/>
    </row>
    <row r="37" spans="1:6" ht="22.05" customHeight="1" x14ac:dyDescent="0.3">
      <c r="A37" s="7"/>
      <c r="B37" s="8" t="s">
        <v>50</v>
      </c>
      <c r="C37" s="117" t="s">
        <v>51</v>
      </c>
      <c r="D37" s="118"/>
      <c r="E37" s="118"/>
      <c r="F37" s="9"/>
    </row>
    <row r="38" spans="1:6" ht="22.05" customHeight="1" x14ac:dyDescent="0.3">
      <c r="A38" s="10"/>
      <c r="B38" s="11" t="s">
        <v>52</v>
      </c>
      <c r="C38" s="119" t="s">
        <v>53</v>
      </c>
      <c r="D38" s="118"/>
      <c r="E38" s="118"/>
      <c r="F38" s="12"/>
    </row>
    <row r="39" spans="1:6" ht="22.05" customHeight="1" x14ac:dyDescent="0.3">
      <c r="A39" s="7"/>
      <c r="B39" s="8" t="s">
        <v>54</v>
      </c>
      <c r="C39" s="117" t="s">
        <v>55</v>
      </c>
      <c r="D39" s="118"/>
      <c r="E39" s="118"/>
      <c r="F39" s="9"/>
    </row>
    <row r="40" spans="1:6" ht="22.05" customHeight="1" x14ac:dyDescent="0.3">
      <c r="A40" s="10"/>
      <c r="B40" s="11" t="s">
        <v>56</v>
      </c>
      <c r="C40" s="119" t="s">
        <v>57</v>
      </c>
      <c r="D40" s="118"/>
      <c r="E40" s="118"/>
      <c r="F40" s="12"/>
    </row>
    <row r="41" spans="1:6" ht="7.95" customHeight="1" x14ac:dyDescent="0.3"/>
    <row r="42" spans="1:6" ht="3" customHeight="1" x14ac:dyDescent="0.3">
      <c r="A42" s="1"/>
      <c r="B42" s="1"/>
      <c r="C42" s="1"/>
      <c r="D42" s="1"/>
      <c r="E42" s="1"/>
      <c r="F42" s="1"/>
    </row>
    <row r="43" spans="1:6" ht="19.95" customHeight="1" x14ac:dyDescent="0.3">
      <c r="A43" s="123" t="s">
        <v>58</v>
      </c>
      <c r="B43" s="118"/>
      <c r="C43" s="118"/>
      <c r="D43" s="118"/>
      <c r="E43" s="118"/>
      <c r="F43" s="118"/>
    </row>
  </sheetData>
  <mergeCells count="29">
    <mergeCell ref="B2:E2"/>
    <mergeCell ref="C30:E30"/>
    <mergeCell ref="C34:E34"/>
    <mergeCell ref="C6:E6"/>
    <mergeCell ref="C33:E33"/>
    <mergeCell ref="B29:E29"/>
    <mergeCell ref="C10:E10"/>
    <mergeCell ref="B3:E3"/>
    <mergeCell ref="C7:E7"/>
    <mergeCell ref="C32:E32"/>
    <mergeCell ref="C38:E38"/>
    <mergeCell ref="A43:F43"/>
    <mergeCell ref="C13:E13"/>
    <mergeCell ref="C19:E19"/>
    <mergeCell ref="C37:E37"/>
    <mergeCell ref="B21:E21"/>
    <mergeCell ref="C18:E18"/>
    <mergeCell ref="B5:E5"/>
    <mergeCell ref="C12:E12"/>
    <mergeCell ref="B36:E36"/>
    <mergeCell ref="C11:E11"/>
    <mergeCell ref="C39:E39"/>
    <mergeCell ref="C8:E8"/>
    <mergeCell ref="C17:E17"/>
    <mergeCell ref="C16:E16"/>
    <mergeCell ref="C31:E31"/>
    <mergeCell ref="C40:E40"/>
    <mergeCell ref="C9:E9"/>
    <mergeCell ref="B15:E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8"/>
  <sheetViews>
    <sheetView showGridLines="0" workbookViewId="0"/>
  </sheetViews>
  <sheetFormatPr defaultRowHeight="14.4" x14ac:dyDescent="0.3"/>
  <cols>
    <col min="1" max="1" width="8" customWidth="1"/>
    <col min="2" max="2" width="10" customWidth="1"/>
    <col min="3" max="3" width="46" customWidth="1"/>
    <col min="4" max="8" width="9" customWidth="1"/>
    <col min="9" max="9" width="17" customWidth="1"/>
    <col min="10" max="13" width="24" customWidth="1"/>
    <col min="14" max="14" width="18" customWidth="1"/>
    <col min="15" max="15" width="14" customWidth="1"/>
    <col min="16" max="16" width="20" customWidth="1"/>
    <col min="17" max="17" width="19" customWidth="1"/>
    <col min="18" max="19" width="16" customWidth="1"/>
    <col min="20" max="21" width="19" customWidth="1"/>
    <col min="22" max="23" width="8" customWidth="1"/>
    <col min="24" max="24" width="224" customWidth="1"/>
    <col min="25" max="26" width="3.44140625" customWidth="1"/>
  </cols>
  <sheetData>
    <row r="1" spans="1:26" ht="30" customHeight="1" x14ac:dyDescent="0.3">
      <c r="A1" s="137" t="s">
        <v>59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24"/>
      <c r="Z1" s="24"/>
    </row>
    <row r="2" spans="1:26" ht="24" customHeight="1" x14ac:dyDescent="0.3">
      <c r="A2" s="25"/>
      <c r="B2" s="25"/>
      <c r="C2" s="25"/>
      <c r="D2" s="25"/>
      <c r="E2" s="25"/>
      <c r="F2" s="25"/>
      <c r="G2" s="25"/>
      <c r="H2" s="26">
        <v>58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4"/>
      <c r="Z2" s="24"/>
    </row>
    <row r="3" spans="1:26" ht="31.95" customHeight="1" x14ac:dyDescent="0.3">
      <c r="A3" s="27"/>
      <c r="B3" s="28" t="s">
        <v>60</v>
      </c>
      <c r="C3" s="29" t="s">
        <v>61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30" t="s">
        <v>62</v>
      </c>
      <c r="Y3" s="24"/>
      <c r="Z3" s="24"/>
    </row>
    <row r="4" spans="1:26" ht="60" customHeight="1" x14ac:dyDescent="0.3">
      <c r="A4" s="31"/>
      <c r="B4" s="31" t="s">
        <v>63</v>
      </c>
      <c r="C4" s="31" t="s">
        <v>30</v>
      </c>
      <c r="D4" s="31" t="s">
        <v>64</v>
      </c>
      <c r="E4" s="31" t="s">
        <v>65</v>
      </c>
      <c r="F4" s="31" t="s">
        <v>66</v>
      </c>
      <c r="G4" s="31" t="s">
        <v>67</v>
      </c>
      <c r="H4" s="31" t="s">
        <v>68</v>
      </c>
      <c r="I4" s="31" t="s">
        <v>69</v>
      </c>
      <c r="J4" s="31" t="s">
        <v>70</v>
      </c>
      <c r="K4" s="31" t="s">
        <v>71</v>
      </c>
      <c r="L4" s="31" t="s">
        <v>72</v>
      </c>
      <c r="M4" s="31" t="s">
        <v>73</v>
      </c>
      <c r="N4" s="31" t="s">
        <v>74</v>
      </c>
      <c r="O4" s="31" t="s">
        <v>75</v>
      </c>
      <c r="P4" s="31" t="s">
        <v>76</v>
      </c>
      <c r="Q4" s="31" t="s">
        <v>77</v>
      </c>
      <c r="R4" s="31" t="s">
        <v>78</v>
      </c>
      <c r="S4" s="31" t="s">
        <v>79</v>
      </c>
      <c r="T4" s="31" t="s">
        <v>80</v>
      </c>
      <c r="U4" s="31" t="s">
        <v>81</v>
      </c>
      <c r="V4" s="32"/>
      <c r="W4" s="32"/>
      <c r="X4" s="31" t="s">
        <v>82</v>
      </c>
      <c r="Y4" s="24"/>
      <c r="Z4" s="24"/>
    </row>
    <row r="5" spans="1:26" ht="28.05" customHeight="1" x14ac:dyDescent="0.3">
      <c r="A5" s="33"/>
      <c r="B5" s="33"/>
      <c r="C5" s="34" t="s">
        <v>83</v>
      </c>
      <c r="D5" s="33"/>
      <c r="E5" s="33"/>
      <c r="F5" s="35">
        <v>2.0699999999999998</v>
      </c>
      <c r="G5" s="35">
        <v>0.38</v>
      </c>
      <c r="H5" s="35">
        <v>1</v>
      </c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24"/>
      <c r="Z5" s="24"/>
    </row>
    <row r="6" spans="1:26" ht="18" customHeight="1" x14ac:dyDescent="0.3">
      <c r="B6" s="36" t="s">
        <v>84</v>
      </c>
      <c r="C6" s="37" t="s">
        <v>85</v>
      </c>
      <c r="D6" s="38" t="s">
        <v>86</v>
      </c>
      <c r="E6" s="39"/>
      <c r="F6" s="40">
        <f>$F$5</f>
        <v>2.0699999999999998</v>
      </c>
      <c r="G6" s="41"/>
      <c r="H6" s="40">
        <f>$H$5</f>
        <v>1</v>
      </c>
      <c r="I6" s="42">
        <f>IFERROR(F6*H6*IF(E6&lt;&gt;"",E6,1),"")</f>
        <v>2.0699999999999998</v>
      </c>
      <c r="J6" s="39"/>
      <c r="K6" s="43">
        <f>I6</f>
        <v>2.0699999999999998</v>
      </c>
      <c r="L6" s="39"/>
      <c r="M6" s="39"/>
      <c r="N6" s="39"/>
      <c r="O6" s="39"/>
      <c r="P6" s="39"/>
      <c r="Q6" s="39"/>
      <c r="R6" s="39"/>
      <c r="S6" s="39"/>
      <c r="T6" s="39"/>
      <c r="U6" s="39"/>
      <c r="V6" s="44"/>
      <c r="W6" s="44"/>
      <c r="X6" s="45"/>
      <c r="Y6" s="24"/>
      <c r="Z6" s="24"/>
    </row>
    <row r="7" spans="1:26" ht="18" customHeight="1" x14ac:dyDescent="0.3">
      <c r="B7" s="46" t="s">
        <v>87</v>
      </c>
      <c r="C7" s="47" t="s">
        <v>88</v>
      </c>
      <c r="D7" s="48" t="s">
        <v>86</v>
      </c>
      <c r="E7" s="49"/>
      <c r="F7" s="50">
        <f>$F$5</f>
        <v>2.0699999999999998</v>
      </c>
      <c r="G7" s="50">
        <f>$G$5</f>
        <v>0.38</v>
      </c>
      <c r="H7" s="51"/>
      <c r="I7" s="52">
        <f>IFERROR(F7*G7*IF(E7&lt;&gt;"",E7,1),"")</f>
        <v>0.78659999999999997</v>
      </c>
      <c r="J7" s="49"/>
      <c r="K7" s="49"/>
      <c r="L7" s="49"/>
      <c r="M7" s="53">
        <f>I7</f>
        <v>0.78659999999999997</v>
      </c>
      <c r="N7" s="49"/>
      <c r="O7" s="49"/>
      <c r="P7" s="49"/>
      <c r="Q7" s="49"/>
      <c r="R7" s="49"/>
      <c r="S7" s="49"/>
      <c r="T7" s="49"/>
      <c r="U7" s="49"/>
      <c r="V7" s="54"/>
      <c r="W7" s="54"/>
      <c r="X7" s="55"/>
      <c r="Y7" s="24"/>
      <c r="Z7" s="24"/>
    </row>
    <row r="8" spans="1:26" ht="18" customHeight="1" x14ac:dyDescent="0.3">
      <c r="B8" s="36" t="s">
        <v>89</v>
      </c>
      <c r="C8" s="37" t="s">
        <v>90</v>
      </c>
      <c r="D8" s="38" t="s">
        <v>86</v>
      </c>
      <c r="E8" s="39"/>
      <c r="F8" s="40">
        <f>$F$5</f>
        <v>2.0699999999999998</v>
      </c>
      <c r="G8" s="40">
        <f>$G$5</f>
        <v>0.38</v>
      </c>
      <c r="H8" s="41"/>
      <c r="I8" s="42">
        <f>IFERROR(F8*G8*IF(E8&lt;&gt;"",E8,1),"")</f>
        <v>0.78659999999999997</v>
      </c>
      <c r="J8" s="39"/>
      <c r="K8" s="39"/>
      <c r="L8" s="39"/>
      <c r="M8" s="43">
        <f>I8</f>
        <v>0.78659999999999997</v>
      </c>
      <c r="N8" s="39"/>
      <c r="O8" s="39"/>
      <c r="P8" s="39"/>
      <c r="Q8" s="39"/>
      <c r="R8" s="39"/>
      <c r="S8" s="39"/>
      <c r="T8" s="39"/>
      <c r="U8" s="39"/>
      <c r="V8" s="44"/>
      <c r="W8" s="44"/>
      <c r="X8" s="45"/>
      <c r="Y8" s="24"/>
      <c r="Z8" s="24"/>
    </row>
    <row r="9" spans="1:26" ht="18" customHeight="1" x14ac:dyDescent="0.3">
      <c r="B9" s="46" t="s">
        <v>91</v>
      </c>
      <c r="C9" s="47" t="s">
        <v>92</v>
      </c>
      <c r="D9" s="48" t="s">
        <v>86</v>
      </c>
      <c r="E9" s="56">
        <v>2</v>
      </c>
      <c r="F9" s="51"/>
      <c r="G9" s="50">
        <f>$G$5</f>
        <v>0.38</v>
      </c>
      <c r="H9" s="50">
        <f>$H$5</f>
        <v>1</v>
      </c>
      <c r="I9" s="52">
        <f>IFERROR(G9*H9*IF(E9&lt;&gt;"",E9,1),"")</f>
        <v>0.76</v>
      </c>
      <c r="J9" s="49"/>
      <c r="K9" s="49"/>
      <c r="L9" s="49"/>
      <c r="M9" s="53">
        <f>I9</f>
        <v>0.76</v>
      </c>
      <c r="N9" s="49"/>
      <c r="O9" s="49"/>
      <c r="P9" s="49"/>
      <c r="Q9" s="49"/>
      <c r="R9" s="49"/>
      <c r="S9" s="49"/>
      <c r="T9" s="49"/>
      <c r="U9" s="49"/>
      <c r="V9" s="54"/>
      <c r="W9" s="54"/>
      <c r="X9" s="55"/>
      <c r="Y9" s="24"/>
      <c r="Z9" s="24"/>
    </row>
    <row r="10" spans="1:26" ht="18" customHeight="1" x14ac:dyDescent="0.3">
      <c r="B10" s="36" t="s">
        <v>93</v>
      </c>
      <c r="C10" s="37" t="s">
        <v>94</v>
      </c>
      <c r="D10" s="38" t="s">
        <v>86</v>
      </c>
      <c r="E10" s="57">
        <v>8</v>
      </c>
      <c r="F10" s="41"/>
      <c r="G10" s="40">
        <f>$G$5</f>
        <v>0.38</v>
      </c>
      <c r="H10" s="40">
        <f>$H$5</f>
        <v>1</v>
      </c>
      <c r="I10" s="42">
        <f>IFERROR(G10*H10*IF(E10&lt;&gt;"",E10,1),"")</f>
        <v>3.04</v>
      </c>
      <c r="J10" s="39"/>
      <c r="K10" s="39"/>
      <c r="L10" s="39"/>
      <c r="M10" s="43">
        <f>I10</f>
        <v>3.04</v>
      </c>
      <c r="N10" s="39"/>
      <c r="O10" s="39"/>
      <c r="P10" s="39"/>
      <c r="Q10" s="39"/>
      <c r="R10" s="39"/>
      <c r="S10" s="39"/>
      <c r="T10" s="39"/>
      <c r="U10" s="39"/>
      <c r="V10" s="44"/>
      <c r="W10" s="44"/>
      <c r="X10" s="45"/>
      <c r="Y10" s="24"/>
      <c r="Z10" s="24"/>
    </row>
    <row r="11" spans="1:26" ht="18" customHeight="1" x14ac:dyDescent="0.3">
      <c r="B11" s="46" t="s">
        <v>95</v>
      </c>
      <c r="C11" s="47" t="s">
        <v>96</v>
      </c>
      <c r="D11" s="48" t="s">
        <v>86</v>
      </c>
      <c r="E11" s="56">
        <v>9</v>
      </c>
      <c r="F11" s="58">
        <v>0.6</v>
      </c>
      <c r="G11" s="50">
        <f>$G$5</f>
        <v>0.38</v>
      </c>
      <c r="H11" s="51"/>
      <c r="I11" s="52">
        <f>IFERROR(F11*G11*IF(E11&lt;&gt;"",E11,1),"")</f>
        <v>2.0519999999999996</v>
      </c>
      <c r="J11" s="49"/>
      <c r="K11" s="49"/>
      <c r="L11" s="49"/>
      <c r="M11" s="53">
        <f>I11</f>
        <v>2.0519999999999996</v>
      </c>
      <c r="N11" s="49"/>
      <c r="O11" s="49"/>
      <c r="P11" s="49"/>
      <c r="Q11" s="49"/>
      <c r="R11" s="49"/>
      <c r="S11" s="49"/>
      <c r="T11" s="49"/>
      <c r="U11" s="49"/>
      <c r="V11" s="54"/>
      <c r="W11" s="54"/>
      <c r="X11" s="55"/>
      <c r="Y11" s="24"/>
      <c r="Z11" s="24"/>
    </row>
    <row r="12" spans="1:26" ht="18" customHeight="1" x14ac:dyDescent="0.3">
      <c r="B12" s="36" t="s">
        <v>97</v>
      </c>
      <c r="C12" s="37" t="s">
        <v>98</v>
      </c>
      <c r="D12" s="38" t="s">
        <v>99</v>
      </c>
      <c r="E12" s="39"/>
      <c r="F12" s="41"/>
      <c r="G12" s="41"/>
      <c r="H12" s="41"/>
      <c r="I12" s="42">
        <f>IF(E12&lt;&gt;"",E12,0)</f>
        <v>0</v>
      </c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44"/>
      <c r="W12" s="44"/>
      <c r="X12" s="45" t="s">
        <v>100</v>
      </c>
      <c r="Y12" s="24"/>
      <c r="Z12" s="24"/>
    </row>
    <row r="13" spans="1:26" ht="28.05" customHeight="1" x14ac:dyDescent="0.3">
      <c r="A13" s="33"/>
      <c r="B13" s="33"/>
      <c r="C13" s="34" t="s">
        <v>101</v>
      </c>
      <c r="D13" s="33"/>
      <c r="E13" s="33"/>
      <c r="F13" s="35">
        <v>2.0699999999999998</v>
      </c>
      <c r="G13" s="59" t="s">
        <v>102</v>
      </c>
      <c r="H13" s="35">
        <v>1</v>
      </c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24"/>
      <c r="Z13" s="24"/>
    </row>
    <row r="14" spans="1:26" ht="18" customHeight="1" x14ac:dyDescent="0.3">
      <c r="B14" s="46" t="s">
        <v>103</v>
      </c>
      <c r="C14" s="47" t="s">
        <v>104</v>
      </c>
      <c r="D14" s="48" t="s">
        <v>86</v>
      </c>
      <c r="E14" s="49"/>
      <c r="F14" s="50">
        <f>$F$13</f>
        <v>2.0699999999999998</v>
      </c>
      <c r="G14" s="51"/>
      <c r="H14" s="50">
        <f>$H$13</f>
        <v>1</v>
      </c>
      <c r="I14" s="52">
        <f>IFERROR(F14*H14*IF(E14&lt;&gt;"",E14,1),"")</f>
        <v>2.0699999999999998</v>
      </c>
      <c r="J14" s="49"/>
      <c r="K14" s="49"/>
      <c r="L14" s="49"/>
      <c r="M14" s="49"/>
      <c r="N14" s="53">
        <f>I14</f>
        <v>2.0699999999999998</v>
      </c>
      <c r="O14" s="49"/>
      <c r="P14" s="49"/>
      <c r="Q14" s="49"/>
      <c r="R14" s="49"/>
      <c r="S14" s="49"/>
      <c r="T14" s="49"/>
      <c r="U14" s="49"/>
      <c r="V14" s="54"/>
      <c r="W14" s="54"/>
      <c r="X14" s="55" t="s">
        <v>105</v>
      </c>
      <c r="Y14" s="24"/>
      <c r="Z14" s="24"/>
    </row>
    <row r="15" spans="1:26" ht="18" customHeight="1" x14ac:dyDescent="0.3">
      <c r="B15" s="36" t="s">
        <v>106</v>
      </c>
      <c r="C15" s="37" t="s">
        <v>107</v>
      </c>
      <c r="D15" s="38" t="s">
        <v>99</v>
      </c>
      <c r="E15" s="39"/>
      <c r="F15" s="41"/>
      <c r="G15" s="41"/>
      <c r="H15" s="41"/>
      <c r="I15" s="42">
        <f>IF(E15&lt;&gt;"",E15,0)</f>
        <v>0</v>
      </c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44"/>
      <c r="W15" s="44"/>
      <c r="X15" s="45" t="s">
        <v>100</v>
      </c>
      <c r="Y15" s="24"/>
      <c r="Z15" s="24"/>
    </row>
    <row r="16" spans="1:26" ht="28.05" customHeight="1" x14ac:dyDescent="0.3">
      <c r="A16" s="33"/>
      <c r="B16" s="33"/>
      <c r="C16" s="34" t="s">
        <v>108</v>
      </c>
      <c r="D16" s="33"/>
      <c r="E16" s="33"/>
      <c r="F16" s="35">
        <v>0.44</v>
      </c>
      <c r="G16" s="35">
        <v>0.38</v>
      </c>
      <c r="H16" s="35">
        <v>1.45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24"/>
      <c r="Z16" s="24"/>
    </row>
    <row r="17" spans="1:26" ht="18" customHeight="1" x14ac:dyDescent="0.3">
      <c r="B17" s="46" t="s">
        <v>109</v>
      </c>
      <c r="C17" s="47" t="s">
        <v>85</v>
      </c>
      <c r="D17" s="48" t="s">
        <v>86</v>
      </c>
      <c r="E17" s="49"/>
      <c r="F17" s="50">
        <f>$F$16</f>
        <v>0.44</v>
      </c>
      <c r="G17" s="51"/>
      <c r="H17" s="50">
        <f>$H$16</f>
        <v>1.45</v>
      </c>
      <c r="I17" s="52">
        <f>IFERROR(F17*H17*IF(E17&lt;&gt;"",E17,1),"")</f>
        <v>0.63800000000000001</v>
      </c>
      <c r="J17" s="49"/>
      <c r="K17" s="53">
        <f>I17</f>
        <v>0.63800000000000001</v>
      </c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54"/>
      <c r="W17" s="54"/>
      <c r="X17" s="55"/>
      <c r="Y17" s="24"/>
      <c r="Z17" s="24"/>
    </row>
    <row r="18" spans="1:26" ht="18" customHeight="1" x14ac:dyDescent="0.3">
      <c r="B18" s="36" t="s">
        <v>110</v>
      </c>
      <c r="C18" s="37" t="s">
        <v>88</v>
      </c>
      <c r="D18" s="38" t="s">
        <v>86</v>
      </c>
      <c r="E18" s="39"/>
      <c r="F18" s="40">
        <f>$F$16</f>
        <v>0.44</v>
      </c>
      <c r="G18" s="40">
        <f>$G$16</f>
        <v>0.38</v>
      </c>
      <c r="H18" s="41"/>
      <c r="I18" s="42">
        <f>IFERROR(F18*G18*IF(E18&lt;&gt;"",E18,1),"")</f>
        <v>0.16720000000000002</v>
      </c>
      <c r="J18" s="39"/>
      <c r="K18" s="39"/>
      <c r="L18" s="39"/>
      <c r="M18" s="43">
        <f>I18</f>
        <v>0.16720000000000002</v>
      </c>
      <c r="N18" s="39"/>
      <c r="O18" s="39"/>
      <c r="P18" s="39"/>
      <c r="Q18" s="39"/>
      <c r="R18" s="39"/>
      <c r="S18" s="39"/>
      <c r="T18" s="39"/>
      <c r="U18" s="39"/>
      <c r="V18" s="44"/>
      <c r="W18" s="44"/>
      <c r="X18" s="45"/>
      <c r="Y18" s="24"/>
      <c r="Z18" s="24"/>
    </row>
    <row r="19" spans="1:26" ht="18" customHeight="1" x14ac:dyDescent="0.3">
      <c r="B19" s="46" t="s">
        <v>111</v>
      </c>
      <c r="C19" s="47" t="s">
        <v>90</v>
      </c>
      <c r="D19" s="48" t="s">
        <v>86</v>
      </c>
      <c r="E19" s="49"/>
      <c r="F19" s="50">
        <f>$F$16</f>
        <v>0.44</v>
      </c>
      <c r="G19" s="50">
        <f>$G$16</f>
        <v>0.38</v>
      </c>
      <c r="H19" s="51"/>
      <c r="I19" s="52">
        <f>IFERROR(F19*G19*IF(E19&lt;&gt;"",E19,1),"")</f>
        <v>0.16720000000000002</v>
      </c>
      <c r="J19" s="49"/>
      <c r="K19" s="49"/>
      <c r="L19" s="49"/>
      <c r="M19" s="53">
        <f>I19</f>
        <v>0.16720000000000002</v>
      </c>
      <c r="N19" s="49"/>
      <c r="O19" s="49"/>
      <c r="P19" s="49"/>
      <c r="Q19" s="49"/>
      <c r="R19" s="49"/>
      <c r="S19" s="49"/>
      <c r="T19" s="49"/>
      <c r="U19" s="49"/>
      <c r="V19" s="54"/>
      <c r="W19" s="54"/>
      <c r="X19" s="55"/>
      <c r="Y19" s="24"/>
      <c r="Z19" s="24"/>
    </row>
    <row r="20" spans="1:26" ht="18" customHeight="1" x14ac:dyDescent="0.3">
      <c r="B20" s="36" t="s">
        <v>112</v>
      </c>
      <c r="C20" s="37" t="s">
        <v>92</v>
      </c>
      <c r="D20" s="38" t="s">
        <v>86</v>
      </c>
      <c r="E20" s="57">
        <v>2</v>
      </c>
      <c r="F20" s="41"/>
      <c r="G20" s="40">
        <f>$G$16</f>
        <v>0.38</v>
      </c>
      <c r="H20" s="40">
        <f>$H$16</f>
        <v>1.45</v>
      </c>
      <c r="I20" s="42">
        <f>IFERROR(G20*H20*IF(E20&lt;&gt;"",E20,1),"")</f>
        <v>1.1019999999999999</v>
      </c>
      <c r="J20" s="39"/>
      <c r="K20" s="39"/>
      <c r="L20" s="39"/>
      <c r="M20" s="43">
        <f>I20</f>
        <v>1.1019999999999999</v>
      </c>
      <c r="N20" s="39"/>
      <c r="O20" s="39"/>
      <c r="P20" s="39"/>
      <c r="Q20" s="39"/>
      <c r="R20" s="39"/>
      <c r="S20" s="39"/>
      <c r="T20" s="39"/>
      <c r="U20" s="39"/>
      <c r="V20" s="44"/>
      <c r="W20" s="44"/>
      <c r="X20" s="45"/>
      <c r="Y20" s="24"/>
      <c r="Z20" s="24"/>
    </row>
    <row r="21" spans="1:26" ht="18" customHeight="1" x14ac:dyDescent="0.3">
      <c r="B21" s="46" t="s">
        <v>113</v>
      </c>
      <c r="C21" s="47" t="s">
        <v>94</v>
      </c>
      <c r="D21" s="48" t="s">
        <v>86</v>
      </c>
      <c r="E21" s="56">
        <v>8</v>
      </c>
      <c r="F21" s="51"/>
      <c r="G21" s="50">
        <f>$G$16</f>
        <v>0.38</v>
      </c>
      <c r="H21" s="50">
        <f>$H$16</f>
        <v>1.45</v>
      </c>
      <c r="I21" s="52">
        <f>IFERROR(G21*H21*IF(E21&lt;&gt;"",E21,1),"")</f>
        <v>4.4079999999999995</v>
      </c>
      <c r="J21" s="49"/>
      <c r="K21" s="49"/>
      <c r="L21" s="49"/>
      <c r="M21" s="53">
        <f>I21</f>
        <v>4.4079999999999995</v>
      </c>
      <c r="N21" s="49"/>
      <c r="O21" s="49"/>
      <c r="P21" s="49"/>
      <c r="Q21" s="49"/>
      <c r="R21" s="49"/>
      <c r="S21" s="49"/>
      <c r="T21" s="49"/>
      <c r="U21" s="49"/>
      <c r="V21" s="54"/>
      <c r="W21" s="54"/>
      <c r="X21" s="55"/>
      <c r="Y21" s="24"/>
      <c r="Z21" s="24"/>
    </row>
    <row r="22" spans="1:26" ht="18" customHeight="1" x14ac:dyDescent="0.3">
      <c r="B22" s="36" t="s">
        <v>114</v>
      </c>
      <c r="C22" s="37" t="s">
        <v>96</v>
      </c>
      <c r="D22" s="38" t="s">
        <v>86</v>
      </c>
      <c r="E22" s="57">
        <v>3</v>
      </c>
      <c r="F22" s="40">
        <f>$F$16</f>
        <v>0.44</v>
      </c>
      <c r="G22" s="40">
        <f>$G$16</f>
        <v>0.38</v>
      </c>
      <c r="H22" s="41"/>
      <c r="I22" s="42">
        <f>IFERROR(F22*G22*IF(E22&lt;&gt;"",E22,1),"")</f>
        <v>0.50160000000000005</v>
      </c>
      <c r="J22" s="39"/>
      <c r="K22" s="39"/>
      <c r="L22" s="39"/>
      <c r="M22" s="43">
        <f>I22</f>
        <v>0.50160000000000005</v>
      </c>
      <c r="N22" s="39"/>
      <c r="O22" s="39"/>
      <c r="P22" s="39"/>
      <c r="Q22" s="39"/>
      <c r="R22" s="39"/>
      <c r="S22" s="39"/>
      <c r="T22" s="39"/>
      <c r="U22" s="39"/>
      <c r="V22" s="44"/>
      <c r="W22" s="44"/>
      <c r="X22" s="45"/>
      <c r="Y22" s="24"/>
      <c r="Z22" s="24"/>
    </row>
    <row r="23" spans="1:26" ht="18" customHeight="1" x14ac:dyDescent="0.3">
      <c r="B23" s="46" t="s">
        <v>115</v>
      </c>
      <c r="C23" s="47" t="s">
        <v>98</v>
      </c>
      <c r="D23" s="48" t="s">
        <v>99</v>
      </c>
      <c r="E23" s="49"/>
      <c r="F23" s="51"/>
      <c r="G23" s="51"/>
      <c r="H23" s="51"/>
      <c r="I23" s="52">
        <f>IF(E23&lt;&gt;"",E23,0)</f>
        <v>0</v>
      </c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54"/>
      <c r="W23" s="54"/>
      <c r="X23" s="55" t="s">
        <v>116</v>
      </c>
      <c r="Y23" s="24"/>
      <c r="Z23" s="24"/>
    </row>
    <row r="24" spans="1:26" ht="28.05" customHeight="1" x14ac:dyDescent="0.3">
      <c r="A24" s="33"/>
      <c r="B24" s="33"/>
      <c r="C24" s="34" t="s">
        <v>117</v>
      </c>
      <c r="D24" s="33"/>
      <c r="E24" s="33"/>
      <c r="F24" s="35">
        <v>0.44</v>
      </c>
      <c r="G24" s="59" t="s">
        <v>102</v>
      </c>
      <c r="H24" s="35">
        <v>1.45</v>
      </c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24"/>
      <c r="Z24" s="24"/>
    </row>
    <row r="25" spans="1:26" ht="18" customHeight="1" x14ac:dyDescent="0.3">
      <c r="B25" s="36" t="s">
        <v>118</v>
      </c>
      <c r="C25" s="37" t="s">
        <v>104</v>
      </c>
      <c r="D25" s="38" t="s">
        <v>86</v>
      </c>
      <c r="E25" s="39"/>
      <c r="F25" s="40">
        <f>$F$24</f>
        <v>0.44</v>
      </c>
      <c r="G25" s="41"/>
      <c r="H25" s="40">
        <f>$H$24</f>
        <v>1.45</v>
      </c>
      <c r="I25" s="42">
        <f>IFERROR(F25*H25*IF(E25&lt;&gt;"",E25,1),"")</f>
        <v>0.63800000000000001</v>
      </c>
      <c r="J25" s="39"/>
      <c r="K25" s="39"/>
      <c r="L25" s="39"/>
      <c r="M25" s="39"/>
      <c r="N25" s="43">
        <f>I25</f>
        <v>0.63800000000000001</v>
      </c>
      <c r="O25" s="39"/>
      <c r="P25" s="39"/>
      <c r="Q25" s="39"/>
      <c r="R25" s="39"/>
      <c r="S25" s="39"/>
      <c r="T25" s="39"/>
      <c r="U25" s="39"/>
      <c r="V25" s="44"/>
      <c r="W25" s="44"/>
      <c r="X25" s="45" t="s">
        <v>119</v>
      </c>
      <c r="Y25" s="24"/>
      <c r="Z25" s="24"/>
    </row>
    <row r="26" spans="1:26" ht="18" customHeight="1" x14ac:dyDescent="0.3">
      <c r="B26" s="46" t="s">
        <v>120</v>
      </c>
      <c r="C26" s="47" t="s">
        <v>107</v>
      </c>
      <c r="D26" s="48" t="s">
        <v>99</v>
      </c>
      <c r="E26" s="49"/>
      <c r="F26" s="51"/>
      <c r="G26" s="51"/>
      <c r="H26" s="51"/>
      <c r="I26" s="52">
        <f>IF(E26&lt;&gt;"",E26,0)</f>
        <v>0</v>
      </c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54"/>
      <c r="W26" s="54"/>
      <c r="X26" s="55" t="s">
        <v>121</v>
      </c>
      <c r="Y26" s="24"/>
      <c r="Z26" s="24"/>
    </row>
    <row r="27" spans="1:26" ht="28.05" customHeight="1" x14ac:dyDescent="0.3">
      <c r="A27" s="33"/>
      <c r="B27" s="33"/>
      <c r="C27" s="34" t="s">
        <v>122</v>
      </c>
      <c r="D27" s="33"/>
      <c r="E27" s="33"/>
      <c r="F27" s="35">
        <v>0.65</v>
      </c>
      <c r="G27" s="59" t="s">
        <v>102</v>
      </c>
      <c r="H27" s="35">
        <v>2.7</v>
      </c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24"/>
      <c r="Z27" s="24"/>
    </row>
    <row r="28" spans="1:26" ht="18" customHeight="1" x14ac:dyDescent="0.3">
      <c r="B28" s="36" t="s">
        <v>123</v>
      </c>
      <c r="C28" s="37" t="s">
        <v>124</v>
      </c>
      <c r="D28" s="38" t="s">
        <v>86</v>
      </c>
      <c r="E28" s="39"/>
      <c r="F28" s="40">
        <f>$F$27</f>
        <v>0.65</v>
      </c>
      <c r="G28" s="41"/>
      <c r="H28" s="40">
        <f>$H$27</f>
        <v>2.7</v>
      </c>
      <c r="I28" s="42">
        <f>IFERROR(F28*H28*IF(E28&lt;&gt;"",E28,1),"")</f>
        <v>1.7550000000000001</v>
      </c>
      <c r="J28" s="39"/>
      <c r="K28" s="39"/>
      <c r="L28" s="39"/>
      <c r="M28" s="39"/>
      <c r="N28" s="39"/>
      <c r="O28" s="39"/>
      <c r="P28" s="43">
        <f>I28</f>
        <v>1.7550000000000001</v>
      </c>
      <c r="Q28" s="39"/>
      <c r="R28" s="39"/>
      <c r="S28" s="39"/>
      <c r="T28" s="39"/>
      <c r="U28" s="39"/>
      <c r="V28" s="44"/>
      <c r="W28" s="44"/>
      <c r="X28" s="45" t="s">
        <v>125</v>
      </c>
      <c r="Y28" s="24"/>
      <c r="Z28" s="24"/>
    </row>
    <row r="29" spans="1:26" ht="18" customHeight="1" x14ac:dyDescent="0.3">
      <c r="B29" s="46" t="s">
        <v>126</v>
      </c>
      <c r="C29" s="47" t="s">
        <v>127</v>
      </c>
      <c r="D29" s="48" t="s">
        <v>99</v>
      </c>
      <c r="E29" s="49"/>
      <c r="F29" s="51"/>
      <c r="G29" s="51"/>
      <c r="H29" s="51"/>
      <c r="I29" s="52">
        <f>IF(E29&lt;&gt;"",E29,0)</f>
        <v>0</v>
      </c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53">
        <f>I29</f>
        <v>0</v>
      </c>
      <c r="U29" s="49"/>
      <c r="V29" s="54"/>
      <c r="W29" s="54"/>
      <c r="X29" s="55" t="s">
        <v>128</v>
      </c>
      <c r="Y29" s="24"/>
      <c r="Z29" s="24"/>
    </row>
    <row r="30" spans="1:26" ht="28.05" customHeight="1" x14ac:dyDescent="0.3">
      <c r="A30" s="33"/>
      <c r="B30" s="33"/>
      <c r="C30" s="34" t="s">
        <v>129</v>
      </c>
      <c r="D30" s="33"/>
      <c r="E30" s="33"/>
      <c r="F30" s="59" t="s">
        <v>102</v>
      </c>
      <c r="G30" s="59" t="s">
        <v>102</v>
      </c>
      <c r="H30" s="59" t="s">
        <v>102</v>
      </c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24"/>
      <c r="Z30" s="24"/>
    </row>
    <row r="31" spans="1:26" ht="18" customHeight="1" x14ac:dyDescent="0.3">
      <c r="B31" s="36" t="s">
        <v>130</v>
      </c>
      <c r="C31" s="37" t="s">
        <v>131</v>
      </c>
      <c r="D31" s="38" t="s">
        <v>132</v>
      </c>
      <c r="E31" s="39"/>
      <c r="F31" s="41"/>
      <c r="G31" s="41"/>
      <c r="H31" s="41"/>
      <c r="I31" s="42">
        <f>IF(E31&lt;&gt;"",E31,0)</f>
        <v>0</v>
      </c>
      <c r="J31" s="39"/>
      <c r="K31" s="39"/>
      <c r="L31" s="39"/>
      <c r="M31" s="39"/>
      <c r="N31" s="39"/>
      <c r="O31" s="39"/>
      <c r="P31" s="39"/>
      <c r="Q31" s="39"/>
      <c r="R31" s="43">
        <f>I31</f>
        <v>0</v>
      </c>
      <c r="S31" s="39"/>
      <c r="T31" s="39"/>
      <c r="U31" s="39"/>
      <c r="V31" s="44"/>
      <c r="W31" s="44"/>
      <c r="X31" s="45" t="s">
        <v>133</v>
      </c>
      <c r="Y31" s="24"/>
      <c r="Z31" s="24"/>
    </row>
    <row r="32" spans="1:26" ht="19.95" customHeight="1" x14ac:dyDescent="0.3">
      <c r="I32" s="60" t="s">
        <v>134</v>
      </c>
      <c r="J32" s="61">
        <f t="shared" ref="J32:U32" si="0">SUM(J5:J31)</f>
        <v>0</v>
      </c>
      <c r="K32" s="61">
        <f t="shared" si="0"/>
        <v>2.7079999999999997</v>
      </c>
      <c r="L32" s="61">
        <f t="shared" si="0"/>
        <v>0</v>
      </c>
      <c r="M32" s="61">
        <f t="shared" si="0"/>
        <v>13.771199999999999</v>
      </c>
      <c r="N32" s="61">
        <f t="shared" si="0"/>
        <v>2.7079999999999997</v>
      </c>
      <c r="O32" s="61">
        <f t="shared" si="0"/>
        <v>0</v>
      </c>
      <c r="P32" s="61">
        <f t="shared" si="0"/>
        <v>1.7550000000000001</v>
      </c>
      <c r="Q32" s="61">
        <f t="shared" si="0"/>
        <v>0</v>
      </c>
      <c r="R32" s="61">
        <f t="shared" si="0"/>
        <v>0</v>
      </c>
      <c r="S32" s="61">
        <f t="shared" si="0"/>
        <v>0</v>
      </c>
      <c r="T32" s="61">
        <f t="shared" si="0"/>
        <v>0</v>
      </c>
      <c r="U32" s="61">
        <f t="shared" si="0"/>
        <v>0</v>
      </c>
      <c r="Y32" s="24"/>
      <c r="Z32" s="24"/>
    </row>
    <row r="33" spans="1:26" ht="22.05" customHeight="1" x14ac:dyDescent="0.3">
      <c r="H33" s="62">
        <f>H2</f>
        <v>58</v>
      </c>
      <c r="I33" s="63" t="s">
        <v>135</v>
      </c>
      <c r="J33" s="64">
        <f>J32*H2/2.88</f>
        <v>0</v>
      </c>
      <c r="K33" s="64">
        <f>K32*H2/2.88</f>
        <v>54.536111111111111</v>
      </c>
      <c r="L33" s="64">
        <f>L32*H2/2.88</f>
        <v>0</v>
      </c>
      <c r="M33" s="64">
        <f>M32*H2/2.88</f>
        <v>277.33666666666664</v>
      </c>
      <c r="N33" s="64">
        <f>N32*H2/2.88</f>
        <v>54.536111111111111</v>
      </c>
      <c r="O33" s="64">
        <f>O32*H2/2.88</f>
        <v>0</v>
      </c>
      <c r="P33" s="64">
        <f>P32*H2/2.88</f>
        <v>35.34375</v>
      </c>
      <c r="Q33" s="64">
        <f>Q32*H2/2.88</f>
        <v>0</v>
      </c>
      <c r="R33" s="64">
        <f>R32*H2</f>
        <v>0</v>
      </c>
      <c r="S33" s="64">
        <f>S32*H2</f>
        <v>0</v>
      </c>
      <c r="T33" s="64">
        <f>T32*H2/2.88</f>
        <v>0</v>
      </c>
      <c r="U33" s="64">
        <f>U32*H2/2.88</f>
        <v>0</v>
      </c>
      <c r="Y33" s="24"/>
      <c r="Z33" s="24"/>
    </row>
    <row r="34" spans="1:26" ht="10.050000000000001" customHeight="1" x14ac:dyDescent="0.3">
      <c r="Y34" s="24"/>
      <c r="Z34" s="24"/>
    </row>
    <row r="35" spans="1:26" ht="31.95" customHeight="1" x14ac:dyDescent="0.3">
      <c r="A35" s="27"/>
      <c r="B35" s="28" t="s">
        <v>136</v>
      </c>
      <c r="C35" s="29" t="s">
        <v>61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30" t="s">
        <v>137</v>
      </c>
      <c r="Y35" s="24"/>
      <c r="Z35" s="24"/>
    </row>
    <row r="36" spans="1:26" ht="60" customHeight="1" x14ac:dyDescent="0.3">
      <c r="A36" s="31"/>
      <c r="B36" s="31" t="s">
        <v>63</v>
      </c>
      <c r="C36" s="31" t="s">
        <v>30</v>
      </c>
      <c r="D36" s="31" t="s">
        <v>64</v>
      </c>
      <c r="E36" s="31" t="s">
        <v>65</v>
      </c>
      <c r="F36" s="31" t="s">
        <v>66</v>
      </c>
      <c r="G36" s="31" t="s">
        <v>67</v>
      </c>
      <c r="H36" s="31" t="s">
        <v>68</v>
      </c>
      <c r="I36" s="31" t="s">
        <v>69</v>
      </c>
      <c r="J36" s="31" t="s">
        <v>70</v>
      </c>
      <c r="K36" s="31" t="s">
        <v>71</v>
      </c>
      <c r="L36" s="31" t="s">
        <v>72</v>
      </c>
      <c r="M36" s="31" t="s">
        <v>73</v>
      </c>
      <c r="N36" s="31" t="s">
        <v>74</v>
      </c>
      <c r="O36" s="31" t="s">
        <v>75</v>
      </c>
      <c r="P36" s="31" t="s">
        <v>76</v>
      </c>
      <c r="Q36" s="31" t="s">
        <v>77</v>
      </c>
      <c r="R36" s="31" t="s">
        <v>78</v>
      </c>
      <c r="S36" s="31" t="s">
        <v>79</v>
      </c>
      <c r="T36" s="31" t="s">
        <v>80</v>
      </c>
      <c r="U36" s="31" t="s">
        <v>81</v>
      </c>
      <c r="V36" s="32"/>
      <c r="W36" s="32"/>
      <c r="X36" s="31" t="s">
        <v>82</v>
      </c>
      <c r="Y36" s="24"/>
      <c r="Z36" s="24"/>
    </row>
    <row r="37" spans="1:26" ht="28.05" customHeight="1" x14ac:dyDescent="0.3">
      <c r="A37" s="33"/>
      <c r="B37" s="33"/>
      <c r="C37" s="34" t="s">
        <v>138</v>
      </c>
      <c r="D37" s="33"/>
      <c r="E37" s="33"/>
      <c r="F37" s="35">
        <v>1.18</v>
      </c>
      <c r="G37" s="35">
        <v>0.62</v>
      </c>
      <c r="H37" s="35">
        <v>1.75</v>
      </c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24"/>
      <c r="Z37" s="24"/>
    </row>
    <row r="38" spans="1:26" ht="18" customHeight="1" x14ac:dyDescent="0.3">
      <c r="B38" s="36" t="s">
        <v>139</v>
      </c>
      <c r="C38" s="37" t="s">
        <v>85</v>
      </c>
      <c r="D38" s="38" t="s">
        <v>86</v>
      </c>
      <c r="E38" s="39"/>
      <c r="F38" s="40">
        <f>$F$37</f>
        <v>1.18</v>
      </c>
      <c r="G38" s="41"/>
      <c r="H38" s="40">
        <f>$H$37</f>
        <v>1.75</v>
      </c>
      <c r="I38" s="42">
        <f>IFERROR(F38*H38*IF(E38&lt;&gt;"",E38,1),"")</f>
        <v>2.0649999999999999</v>
      </c>
      <c r="J38" s="39"/>
      <c r="K38" s="43">
        <f>I38</f>
        <v>2.0649999999999999</v>
      </c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44"/>
      <c r="W38" s="44"/>
      <c r="X38" s="45"/>
      <c r="Y38" s="24"/>
      <c r="Z38" s="24"/>
    </row>
    <row r="39" spans="1:26" ht="18" customHeight="1" x14ac:dyDescent="0.3">
      <c r="B39" s="46" t="s">
        <v>140</v>
      </c>
      <c r="C39" s="47" t="s">
        <v>88</v>
      </c>
      <c r="D39" s="48" t="s">
        <v>86</v>
      </c>
      <c r="E39" s="49"/>
      <c r="F39" s="50">
        <f>$F$37</f>
        <v>1.18</v>
      </c>
      <c r="G39" s="50">
        <f>$G$37</f>
        <v>0.62</v>
      </c>
      <c r="H39" s="51"/>
      <c r="I39" s="52">
        <f>IFERROR(F39*G39*IF(E39&lt;&gt;"",E39,1),"")</f>
        <v>0.73159999999999992</v>
      </c>
      <c r="J39" s="49"/>
      <c r="K39" s="49"/>
      <c r="L39" s="49"/>
      <c r="M39" s="53">
        <f>I39</f>
        <v>0.73159999999999992</v>
      </c>
      <c r="N39" s="49"/>
      <c r="O39" s="49"/>
      <c r="P39" s="49"/>
      <c r="Q39" s="49"/>
      <c r="R39" s="49"/>
      <c r="S39" s="49"/>
      <c r="T39" s="49"/>
      <c r="U39" s="49"/>
      <c r="V39" s="54"/>
      <c r="W39" s="54"/>
      <c r="X39" s="55"/>
      <c r="Y39" s="24"/>
      <c r="Z39" s="24"/>
    </row>
    <row r="40" spans="1:26" ht="18" customHeight="1" x14ac:dyDescent="0.3">
      <c r="B40" s="36" t="s">
        <v>141</v>
      </c>
      <c r="C40" s="37" t="s">
        <v>90</v>
      </c>
      <c r="D40" s="38" t="s">
        <v>86</v>
      </c>
      <c r="E40" s="39"/>
      <c r="F40" s="40">
        <f>$F$37</f>
        <v>1.18</v>
      </c>
      <c r="G40" s="40">
        <f>$G$37</f>
        <v>0.62</v>
      </c>
      <c r="H40" s="41"/>
      <c r="I40" s="42">
        <f>IFERROR(F40*G40*IF(E40&lt;&gt;"",E40,1),"")</f>
        <v>0.73159999999999992</v>
      </c>
      <c r="J40" s="39"/>
      <c r="K40" s="39"/>
      <c r="L40" s="39"/>
      <c r="M40" s="43">
        <f>I40</f>
        <v>0.73159999999999992</v>
      </c>
      <c r="N40" s="39"/>
      <c r="O40" s="39"/>
      <c r="P40" s="39"/>
      <c r="Q40" s="39"/>
      <c r="R40" s="39"/>
      <c r="S40" s="39"/>
      <c r="T40" s="39"/>
      <c r="U40" s="39"/>
      <c r="V40" s="44"/>
      <c r="W40" s="44"/>
      <c r="X40" s="45"/>
      <c r="Y40" s="24"/>
      <c r="Z40" s="24"/>
    </row>
    <row r="41" spans="1:26" ht="18" customHeight="1" x14ac:dyDescent="0.3">
      <c r="B41" s="46" t="s">
        <v>142</v>
      </c>
      <c r="C41" s="47" t="s">
        <v>92</v>
      </c>
      <c r="D41" s="48" t="s">
        <v>86</v>
      </c>
      <c r="E41" s="56">
        <v>2</v>
      </c>
      <c r="F41" s="51"/>
      <c r="G41" s="50">
        <f>$G$37</f>
        <v>0.62</v>
      </c>
      <c r="H41" s="50">
        <f>$H$37</f>
        <v>1.75</v>
      </c>
      <c r="I41" s="52">
        <f>IFERROR(G41*H41*IF(E41&lt;&gt;"",E41,1),"")</f>
        <v>2.17</v>
      </c>
      <c r="J41" s="49"/>
      <c r="K41" s="49"/>
      <c r="L41" s="49"/>
      <c r="M41" s="53">
        <f>I41</f>
        <v>2.17</v>
      </c>
      <c r="N41" s="49"/>
      <c r="O41" s="49"/>
      <c r="P41" s="49"/>
      <c r="Q41" s="49"/>
      <c r="R41" s="49"/>
      <c r="S41" s="49"/>
      <c r="T41" s="49"/>
      <c r="U41" s="49"/>
      <c r="V41" s="54"/>
      <c r="W41" s="54"/>
      <c r="X41" s="55"/>
      <c r="Y41" s="24"/>
      <c r="Z41" s="24"/>
    </row>
    <row r="42" spans="1:26" ht="18" customHeight="1" x14ac:dyDescent="0.3">
      <c r="B42" s="36" t="s">
        <v>143</v>
      </c>
      <c r="C42" s="37" t="s">
        <v>94</v>
      </c>
      <c r="D42" s="38" t="s">
        <v>86</v>
      </c>
      <c r="E42" s="57">
        <v>2</v>
      </c>
      <c r="F42" s="41"/>
      <c r="G42" s="40">
        <f>$G$37</f>
        <v>0.62</v>
      </c>
      <c r="H42" s="40">
        <f>$H$37</f>
        <v>1.75</v>
      </c>
      <c r="I42" s="42">
        <f>IFERROR(G42*H42*IF(E42&lt;&gt;"",E42,1),"")</f>
        <v>2.17</v>
      </c>
      <c r="J42" s="39"/>
      <c r="K42" s="39"/>
      <c r="L42" s="39"/>
      <c r="M42" s="43">
        <f>I42</f>
        <v>2.17</v>
      </c>
      <c r="N42" s="39"/>
      <c r="O42" s="39"/>
      <c r="P42" s="39"/>
      <c r="Q42" s="39"/>
      <c r="R42" s="39"/>
      <c r="S42" s="39"/>
      <c r="T42" s="39"/>
      <c r="U42" s="39"/>
      <c r="V42" s="44"/>
      <c r="W42" s="44"/>
      <c r="X42" s="45"/>
      <c r="Y42" s="24"/>
      <c r="Z42" s="24"/>
    </row>
    <row r="43" spans="1:26" ht="18" customHeight="1" x14ac:dyDescent="0.3">
      <c r="B43" s="46" t="s">
        <v>144</v>
      </c>
      <c r="C43" s="47" t="s">
        <v>96</v>
      </c>
      <c r="D43" s="48" t="s">
        <v>86</v>
      </c>
      <c r="E43" s="56">
        <v>4</v>
      </c>
      <c r="F43" s="58">
        <v>0.59</v>
      </c>
      <c r="G43" s="50">
        <f>$G$37</f>
        <v>0.62</v>
      </c>
      <c r="H43" s="51"/>
      <c r="I43" s="52">
        <f>IFERROR(F43*G43*IF(E43&lt;&gt;"",E43,1),"")</f>
        <v>1.4631999999999998</v>
      </c>
      <c r="J43" s="49"/>
      <c r="K43" s="49"/>
      <c r="L43" s="49"/>
      <c r="M43" s="53">
        <f>I43</f>
        <v>1.4631999999999998</v>
      </c>
      <c r="N43" s="49"/>
      <c r="O43" s="49"/>
      <c r="P43" s="49"/>
      <c r="Q43" s="49"/>
      <c r="R43" s="49"/>
      <c r="S43" s="49"/>
      <c r="T43" s="49"/>
      <c r="U43" s="49"/>
      <c r="V43" s="54"/>
      <c r="W43" s="54"/>
      <c r="X43" s="55"/>
      <c r="Y43" s="24"/>
      <c r="Z43" s="24"/>
    </row>
    <row r="44" spans="1:26" ht="18" customHeight="1" x14ac:dyDescent="0.3">
      <c r="B44" s="36" t="s">
        <v>145</v>
      </c>
      <c r="C44" s="37" t="s">
        <v>98</v>
      </c>
      <c r="D44" s="38" t="s">
        <v>99</v>
      </c>
      <c r="E44" s="39"/>
      <c r="F44" s="41"/>
      <c r="G44" s="41"/>
      <c r="H44" s="41"/>
      <c r="I44" s="42">
        <f>IF(E44&lt;&gt;"",E44,0)</f>
        <v>0</v>
      </c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44"/>
      <c r="W44" s="44"/>
      <c r="X44" s="45" t="s">
        <v>146</v>
      </c>
      <c r="Y44" s="24"/>
      <c r="Z44" s="24"/>
    </row>
    <row r="45" spans="1:26" ht="28.05" customHeight="1" x14ac:dyDescent="0.3">
      <c r="A45" s="33"/>
      <c r="B45" s="33"/>
      <c r="C45" s="34" t="s">
        <v>147</v>
      </c>
      <c r="D45" s="33"/>
      <c r="E45" s="33"/>
      <c r="F45" s="35">
        <v>1.18</v>
      </c>
      <c r="G45" s="59" t="s">
        <v>102</v>
      </c>
      <c r="H45" s="35">
        <v>1.75</v>
      </c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24"/>
      <c r="Z45" s="24"/>
    </row>
    <row r="46" spans="1:26" ht="18" customHeight="1" x14ac:dyDescent="0.3">
      <c r="B46" s="46" t="s">
        <v>148</v>
      </c>
      <c r="C46" s="47" t="s">
        <v>104</v>
      </c>
      <c r="D46" s="48" t="s">
        <v>86</v>
      </c>
      <c r="E46" s="49"/>
      <c r="F46" s="50">
        <f>$F$45</f>
        <v>1.18</v>
      </c>
      <c r="G46" s="51"/>
      <c r="H46" s="50">
        <f>$H$45</f>
        <v>1.75</v>
      </c>
      <c r="I46" s="52">
        <f>IFERROR(F46*H46*IF(E46&lt;&gt;"",E46,1),"")</f>
        <v>2.0649999999999999</v>
      </c>
      <c r="J46" s="49"/>
      <c r="K46" s="49"/>
      <c r="L46" s="49"/>
      <c r="M46" s="49"/>
      <c r="N46" s="53">
        <f>I46</f>
        <v>2.0649999999999999</v>
      </c>
      <c r="O46" s="49"/>
      <c r="P46" s="49"/>
      <c r="Q46" s="49"/>
      <c r="R46" s="49"/>
      <c r="S46" s="49"/>
      <c r="T46" s="49"/>
      <c r="U46" s="49"/>
      <c r="V46" s="54"/>
      <c r="W46" s="54"/>
      <c r="X46" s="55" t="s">
        <v>149</v>
      </c>
      <c r="Y46" s="24"/>
      <c r="Z46" s="24"/>
    </row>
    <row r="47" spans="1:26" ht="18" customHeight="1" x14ac:dyDescent="0.3">
      <c r="B47" s="36" t="s">
        <v>150</v>
      </c>
      <c r="C47" s="37" t="s">
        <v>107</v>
      </c>
      <c r="D47" s="38" t="s">
        <v>99</v>
      </c>
      <c r="E47" s="39"/>
      <c r="F47" s="41"/>
      <c r="G47" s="41"/>
      <c r="H47" s="41"/>
      <c r="I47" s="42">
        <f>IF(E47&lt;&gt;"",E47,0)</f>
        <v>0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44"/>
      <c r="W47" s="44"/>
      <c r="X47" s="45" t="s">
        <v>151</v>
      </c>
      <c r="Y47" s="24"/>
      <c r="Z47" s="24"/>
    </row>
    <row r="48" spans="1:26" ht="28.05" customHeight="1" x14ac:dyDescent="0.3">
      <c r="A48" s="33"/>
      <c r="B48" s="33"/>
      <c r="C48" s="34" t="s">
        <v>122</v>
      </c>
      <c r="D48" s="33"/>
      <c r="E48" s="33"/>
      <c r="F48" s="35">
        <v>0.35</v>
      </c>
      <c r="G48" s="59" t="s">
        <v>102</v>
      </c>
      <c r="H48" s="35">
        <v>2.7</v>
      </c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24"/>
      <c r="Z48" s="24"/>
    </row>
    <row r="49" spans="1:26" ht="18" customHeight="1" x14ac:dyDescent="0.3">
      <c r="B49" s="46" t="s">
        <v>152</v>
      </c>
      <c r="C49" s="47" t="s">
        <v>124</v>
      </c>
      <c r="D49" s="48" t="s">
        <v>86</v>
      </c>
      <c r="E49" s="49"/>
      <c r="F49" s="50">
        <f>$F$48</f>
        <v>0.35</v>
      </c>
      <c r="G49" s="51"/>
      <c r="H49" s="50">
        <f>$H$48</f>
        <v>2.7</v>
      </c>
      <c r="I49" s="52">
        <f>IFERROR(F49*H49*IF(E49&lt;&gt;"",E49,1),"")</f>
        <v>0.94499999999999995</v>
      </c>
      <c r="J49" s="49"/>
      <c r="K49" s="49"/>
      <c r="L49" s="49"/>
      <c r="M49" s="49"/>
      <c r="N49" s="49"/>
      <c r="O49" s="49"/>
      <c r="P49" s="53">
        <f>I49</f>
        <v>0.94499999999999995</v>
      </c>
      <c r="Q49" s="49"/>
      <c r="R49" s="49"/>
      <c r="S49" s="49"/>
      <c r="T49" s="49"/>
      <c r="U49" s="49"/>
      <c r="V49" s="54"/>
      <c r="W49" s="54"/>
      <c r="X49" s="55" t="s">
        <v>153</v>
      </c>
      <c r="Y49" s="24"/>
      <c r="Z49" s="24"/>
    </row>
    <row r="50" spans="1:26" ht="18" customHeight="1" x14ac:dyDescent="0.3">
      <c r="B50" s="36" t="s">
        <v>154</v>
      </c>
      <c r="C50" s="37" t="s">
        <v>127</v>
      </c>
      <c r="D50" s="38" t="s">
        <v>99</v>
      </c>
      <c r="E50" s="39"/>
      <c r="F50" s="41"/>
      <c r="G50" s="41"/>
      <c r="H50" s="41"/>
      <c r="I50" s="42">
        <f>IF(E50&lt;&gt;"",E50,0)</f>
        <v>0</v>
      </c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43">
        <f>I50</f>
        <v>0</v>
      </c>
      <c r="U50" s="39"/>
      <c r="V50" s="44"/>
      <c r="W50" s="44"/>
      <c r="X50" s="45" t="s">
        <v>155</v>
      </c>
      <c r="Y50" s="24"/>
      <c r="Z50" s="24"/>
    </row>
    <row r="51" spans="1:26" ht="28.05" customHeight="1" x14ac:dyDescent="0.3">
      <c r="A51" s="33"/>
      <c r="B51" s="33"/>
      <c r="C51" s="34" t="s">
        <v>129</v>
      </c>
      <c r="D51" s="33"/>
      <c r="E51" s="33"/>
      <c r="F51" s="59" t="s">
        <v>102</v>
      </c>
      <c r="G51" s="59" t="s">
        <v>102</v>
      </c>
      <c r="H51" s="59" t="s">
        <v>102</v>
      </c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24"/>
      <c r="Z51" s="24"/>
    </row>
    <row r="52" spans="1:26" ht="18" customHeight="1" x14ac:dyDescent="0.3">
      <c r="B52" s="46" t="s">
        <v>156</v>
      </c>
      <c r="C52" s="47" t="s">
        <v>131</v>
      </c>
      <c r="D52" s="48" t="s">
        <v>132</v>
      </c>
      <c r="E52" s="49"/>
      <c r="F52" s="51"/>
      <c r="G52" s="51"/>
      <c r="H52" s="51"/>
      <c r="I52" s="52">
        <f>IF(E52&lt;&gt;"",E52,0)</f>
        <v>0</v>
      </c>
      <c r="J52" s="49"/>
      <c r="K52" s="49"/>
      <c r="L52" s="49"/>
      <c r="M52" s="49"/>
      <c r="N52" s="49"/>
      <c r="O52" s="49"/>
      <c r="P52" s="49"/>
      <c r="Q52" s="49"/>
      <c r="R52" s="53">
        <f>I52</f>
        <v>0</v>
      </c>
      <c r="S52" s="49"/>
      <c r="T52" s="49"/>
      <c r="U52" s="49"/>
      <c r="V52" s="54"/>
      <c r="W52" s="54"/>
      <c r="X52" s="55" t="s">
        <v>157</v>
      </c>
      <c r="Y52" s="24"/>
      <c r="Z52" s="24"/>
    </row>
    <row r="53" spans="1:26" ht="19.95" customHeight="1" x14ac:dyDescent="0.3">
      <c r="I53" s="60" t="s">
        <v>134</v>
      </c>
      <c r="J53" s="61">
        <f t="shared" ref="J53:U53" si="1">SUM(J37:J52)</f>
        <v>0</v>
      </c>
      <c r="K53" s="61">
        <f t="shared" si="1"/>
        <v>2.0649999999999999</v>
      </c>
      <c r="L53" s="61">
        <f t="shared" si="1"/>
        <v>0</v>
      </c>
      <c r="M53" s="61">
        <f t="shared" si="1"/>
        <v>7.2663999999999991</v>
      </c>
      <c r="N53" s="61">
        <f t="shared" si="1"/>
        <v>2.0649999999999999</v>
      </c>
      <c r="O53" s="61">
        <f t="shared" si="1"/>
        <v>0</v>
      </c>
      <c r="P53" s="61">
        <f t="shared" si="1"/>
        <v>0.94499999999999995</v>
      </c>
      <c r="Q53" s="61">
        <f t="shared" si="1"/>
        <v>0</v>
      </c>
      <c r="R53" s="61">
        <f t="shared" si="1"/>
        <v>0</v>
      </c>
      <c r="S53" s="61">
        <f t="shared" si="1"/>
        <v>0</v>
      </c>
      <c r="T53" s="61">
        <f t="shared" si="1"/>
        <v>0</v>
      </c>
      <c r="U53" s="61">
        <f t="shared" si="1"/>
        <v>0</v>
      </c>
      <c r="Y53" s="24"/>
      <c r="Z53" s="24"/>
    </row>
    <row r="54" spans="1:26" ht="22.05" customHeight="1" x14ac:dyDescent="0.3">
      <c r="H54" s="62">
        <f>H2</f>
        <v>58</v>
      </c>
      <c r="I54" s="63" t="s">
        <v>135</v>
      </c>
      <c r="J54" s="64">
        <f>J53*H2/2.88</f>
        <v>0</v>
      </c>
      <c r="K54" s="64">
        <f>K53*H2/2.88</f>
        <v>41.586805555555557</v>
      </c>
      <c r="L54" s="64">
        <f>L53*H2/2.88</f>
        <v>0</v>
      </c>
      <c r="M54" s="64">
        <f>M53*H2/2.88</f>
        <v>146.33722222222221</v>
      </c>
      <c r="N54" s="64">
        <f>N53*H2/2.88</f>
        <v>41.586805555555557</v>
      </c>
      <c r="O54" s="64">
        <f>O53*H2/2.88</f>
        <v>0</v>
      </c>
      <c r="P54" s="64">
        <f>P53*H2/2.88</f>
        <v>19.03125</v>
      </c>
      <c r="Q54" s="64">
        <f>Q53*H2/2.88</f>
        <v>0</v>
      </c>
      <c r="R54" s="64">
        <f>R53*H2</f>
        <v>0</v>
      </c>
      <c r="S54" s="64">
        <f>S53*H2</f>
        <v>0</v>
      </c>
      <c r="T54" s="64">
        <f>T53*H2/2.88</f>
        <v>0</v>
      </c>
      <c r="U54" s="64">
        <f>U53*H2/2.88</f>
        <v>0</v>
      </c>
      <c r="Y54" s="24"/>
      <c r="Z54" s="24"/>
    </row>
    <row r="55" spans="1:26" ht="10.050000000000001" customHeight="1" x14ac:dyDescent="0.3">
      <c r="Y55" s="24"/>
      <c r="Z55" s="24"/>
    </row>
    <row r="56" spans="1:26" ht="31.95" customHeight="1" x14ac:dyDescent="0.3">
      <c r="A56" s="27"/>
      <c r="B56" s="28" t="s">
        <v>158</v>
      </c>
      <c r="C56" s="29" t="s">
        <v>61</v>
      </c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30" t="s">
        <v>159</v>
      </c>
      <c r="Y56" s="24"/>
      <c r="Z56" s="24"/>
    </row>
    <row r="57" spans="1:26" ht="60" customHeight="1" x14ac:dyDescent="0.3">
      <c r="A57" s="31"/>
      <c r="B57" s="31" t="s">
        <v>63</v>
      </c>
      <c r="C57" s="31" t="s">
        <v>30</v>
      </c>
      <c r="D57" s="31" t="s">
        <v>64</v>
      </c>
      <c r="E57" s="31" t="s">
        <v>65</v>
      </c>
      <c r="F57" s="31" t="s">
        <v>66</v>
      </c>
      <c r="G57" s="31" t="s">
        <v>67</v>
      </c>
      <c r="H57" s="31" t="s">
        <v>68</v>
      </c>
      <c r="I57" s="31" t="s">
        <v>69</v>
      </c>
      <c r="J57" s="31" t="s">
        <v>70</v>
      </c>
      <c r="K57" s="31" t="s">
        <v>71</v>
      </c>
      <c r="L57" s="31" t="s">
        <v>72</v>
      </c>
      <c r="M57" s="31" t="s">
        <v>73</v>
      </c>
      <c r="N57" s="31" t="s">
        <v>74</v>
      </c>
      <c r="O57" s="31" t="s">
        <v>75</v>
      </c>
      <c r="P57" s="31" t="s">
        <v>76</v>
      </c>
      <c r="Q57" s="31" t="s">
        <v>77</v>
      </c>
      <c r="R57" s="31" t="s">
        <v>78</v>
      </c>
      <c r="S57" s="31" t="s">
        <v>79</v>
      </c>
      <c r="T57" s="31" t="s">
        <v>80</v>
      </c>
      <c r="U57" s="31" t="s">
        <v>81</v>
      </c>
      <c r="V57" s="32"/>
      <c r="W57" s="32"/>
      <c r="X57" s="31" t="s">
        <v>82</v>
      </c>
      <c r="Y57" s="24"/>
      <c r="Z57" s="24"/>
    </row>
    <row r="58" spans="1:26" ht="28.05" customHeight="1" x14ac:dyDescent="0.3">
      <c r="A58" s="33"/>
      <c r="B58" s="33"/>
      <c r="C58" s="34" t="s">
        <v>138</v>
      </c>
      <c r="D58" s="33"/>
      <c r="E58" s="33"/>
      <c r="F58" s="35">
        <v>1.45</v>
      </c>
      <c r="G58" s="35">
        <v>0.63</v>
      </c>
      <c r="H58" s="35">
        <v>0.77</v>
      </c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24"/>
      <c r="Z58" s="24"/>
    </row>
    <row r="59" spans="1:26" ht="18" customHeight="1" x14ac:dyDescent="0.3">
      <c r="B59" s="36" t="s">
        <v>160</v>
      </c>
      <c r="C59" s="37" t="s">
        <v>85</v>
      </c>
      <c r="D59" s="38" t="s">
        <v>86</v>
      </c>
      <c r="E59" s="39"/>
      <c r="F59" s="40">
        <f>$F$58</f>
        <v>1.45</v>
      </c>
      <c r="G59" s="41"/>
      <c r="H59" s="40">
        <f>$H$58</f>
        <v>0.77</v>
      </c>
      <c r="I59" s="42">
        <f>IFERROR(F59*H59*IF(E59&lt;&gt;"",E59,1),"")</f>
        <v>1.1165</v>
      </c>
      <c r="J59" s="39"/>
      <c r="K59" s="43">
        <f>I59</f>
        <v>1.1165</v>
      </c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44"/>
      <c r="W59" s="44"/>
      <c r="X59" s="45"/>
      <c r="Y59" s="24"/>
      <c r="Z59" s="24"/>
    </row>
    <row r="60" spans="1:26" ht="18" customHeight="1" x14ac:dyDescent="0.3">
      <c r="B60" s="46" t="s">
        <v>161</v>
      </c>
      <c r="C60" s="47" t="s">
        <v>88</v>
      </c>
      <c r="D60" s="48" t="s">
        <v>86</v>
      </c>
      <c r="E60" s="49"/>
      <c r="F60" s="50">
        <f>$F$58</f>
        <v>1.45</v>
      </c>
      <c r="G60" s="50">
        <f>$G$58</f>
        <v>0.63</v>
      </c>
      <c r="H60" s="51"/>
      <c r="I60" s="52">
        <f>IFERROR(F60*G60*IF(E60&lt;&gt;"",E60,1),"")</f>
        <v>0.91349999999999998</v>
      </c>
      <c r="J60" s="49"/>
      <c r="K60" s="49"/>
      <c r="L60" s="49"/>
      <c r="M60" s="53">
        <f>I60</f>
        <v>0.91349999999999998</v>
      </c>
      <c r="N60" s="49"/>
      <c r="O60" s="49"/>
      <c r="P60" s="49"/>
      <c r="Q60" s="49"/>
      <c r="R60" s="49"/>
      <c r="S60" s="49"/>
      <c r="T60" s="49"/>
      <c r="U60" s="49"/>
      <c r="V60" s="54"/>
      <c r="W60" s="54"/>
      <c r="X60" s="55"/>
      <c r="Y60" s="24"/>
      <c r="Z60" s="24"/>
    </row>
    <row r="61" spans="1:26" ht="18" customHeight="1" x14ac:dyDescent="0.3">
      <c r="B61" s="36" t="s">
        <v>162</v>
      </c>
      <c r="C61" s="37" t="s">
        <v>163</v>
      </c>
      <c r="D61" s="38" t="s">
        <v>86</v>
      </c>
      <c r="E61" s="39"/>
      <c r="F61" s="40">
        <f>$F$58</f>
        <v>1.45</v>
      </c>
      <c r="G61" s="40">
        <f>$G$58</f>
        <v>0.63</v>
      </c>
      <c r="H61" s="41"/>
      <c r="I61" s="42">
        <f>IFERROR(F61*G61*IF(E61&lt;&gt;"",E61,1),"")</f>
        <v>0.91349999999999998</v>
      </c>
      <c r="J61" s="39"/>
      <c r="K61" s="39"/>
      <c r="L61" s="39"/>
      <c r="M61" s="43">
        <f>I61</f>
        <v>0.91349999999999998</v>
      </c>
      <c r="N61" s="39"/>
      <c r="O61" s="39"/>
      <c r="P61" s="39"/>
      <c r="Q61" s="39"/>
      <c r="R61" s="39"/>
      <c r="S61" s="39"/>
      <c r="T61" s="39"/>
      <c r="U61" s="39"/>
      <c r="V61" s="44"/>
      <c r="W61" s="44"/>
      <c r="X61" s="45" t="s">
        <v>164</v>
      </c>
      <c r="Y61" s="24"/>
      <c r="Z61" s="24"/>
    </row>
    <row r="62" spans="1:26" ht="18" customHeight="1" x14ac:dyDescent="0.3">
      <c r="B62" s="46" t="s">
        <v>165</v>
      </c>
      <c r="C62" s="47" t="s">
        <v>92</v>
      </c>
      <c r="D62" s="48" t="s">
        <v>86</v>
      </c>
      <c r="E62" s="56">
        <v>2</v>
      </c>
      <c r="F62" s="51"/>
      <c r="G62" s="50">
        <f>$G$58</f>
        <v>0.63</v>
      </c>
      <c r="H62" s="50">
        <f>$H$58</f>
        <v>0.77</v>
      </c>
      <c r="I62" s="52">
        <f>IFERROR(G62*H62*IF(E62&lt;&gt;"",E62,1),"")</f>
        <v>0.97020000000000006</v>
      </c>
      <c r="J62" s="49"/>
      <c r="K62" s="49"/>
      <c r="L62" s="49"/>
      <c r="M62" s="53">
        <f>I62</f>
        <v>0.97020000000000006</v>
      </c>
      <c r="N62" s="49"/>
      <c r="O62" s="49"/>
      <c r="P62" s="49"/>
      <c r="Q62" s="49"/>
      <c r="R62" s="49"/>
      <c r="S62" s="49"/>
      <c r="T62" s="49"/>
      <c r="U62" s="49"/>
      <c r="V62" s="54"/>
      <c r="W62" s="54"/>
      <c r="X62" s="55"/>
      <c r="Y62" s="24"/>
      <c r="Z62" s="24"/>
    </row>
    <row r="63" spans="1:26" ht="18" customHeight="1" x14ac:dyDescent="0.3">
      <c r="B63" s="36" t="s">
        <v>166</v>
      </c>
      <c r="C63" s="37" t="s">
        <v>94</v>
      </c>
      <c r="D63" s="38" t="s">
        <v>86</v>
      </c>
      <c r="E63" s="57">
        <v>3</v>
      </c>
      <c r="F63" s="41"/>
      <c r="G63" s="40">
        <f>$G$58</f>
        <v>0.63</v>
      </c>
      <c r="H63" s="40">
        <f>$H$58</f>
        <v>0.77</v>
      </c>
      <c r="I63" s="42">
        <f>IFERROR(G63*H63*IF(E63&lt;&gt;"",E63,1),"")</f>
        <v>1.4553</v>
      </c>
      <c r="J63" s="39"/>
      <c r="K63" s="39"/>
      <c r="L63" s="39"/>
      <c r="M63" s="43">
        <f>I63</f>
        <v>1.4553</v>
      </c>
      <c r="N63" s="39"/>
      <c r="O63" s="39"/>
      <c r="P63" s="39"/>
      <c r="Q63" s="39"/>
      <c r="R63" s="39"/>
      <c r="S63" s="39"/>
      <c r="T63" s="39"/>
      <c r="U63" s="39"/>
      <c r="V63" s="44"/>
      <c r="W63" s="44"/>
      <c r="X63" s="45"/>
      <c r="Y63" s="24"/>
      <c r="Z63" s="24"/>
    </row>
    <row r="64" spans="1:26" ht="18" customHeight="1" x14ac:dyDescent="0.3">
      <c r="B64" s="46" t="s">
        <v>167</v>
      </c>
      <c r="C64" s="47" t="s">
        <v>168</v>
      </c>
      <c r="D64" s="48" t="s">
        <v>86</v>
      </c>
      <c r="E64" s="49"/>
      <c r="F64" s="50">
        <f>$F$58</f>
        <v>1.45</v>
      </c>
      <c r="G64" s="50">
        <f>$G$58</f>
        <v>0.63</v>
      </c>
      <c r="H64" s="51"/>
      <c r="I64" s="52">
        <f>IFERROR(F64*G64*IF(E64&lt;&gt;"",E64,1),"")</f>
        <v>0.91349999999999998</v>
      </c>
      <c r="J64" s="49"/>
      <c r="K64" s="49"/>
      <c r="L64" s="49"/>
      <c r="M64" s="53">
        <f>I64</f>
        <v>0.91349999999999998</v>
      </c>
      <c r="N64" s="49"/>
      <c r="O64" s="49"/>
      <c r="P64" s="49"/>
      <c r="Q64" s="49"/>
      <c r="R64" s="49"/>
      <c r="S64" s="49"/>
      <c r="T64" s="49"/>
      <c r="U64" s="49"/>
      <c r="V64" s="54"/>
      <c r="W64" s="54"/>
      <c r="X64" s="55" t="s">
        <v>169</v>
      </c>
      <c r="Y64" s="24"/>
      <c r="Z64" s="24"/>
    </row>
    <row r="65" spans="1:26" ht="18" customHeight="1" x14ac:dyDescent="0.3">
      <c r="B65" s="36" t="s">
        <v>170</v>
      </c>
      <c r="C65" s="37" t="s">
        <v>98</v>
      </c>
      <c r="D65" s="38" t="s">
        <v>99</v>
      </c>
      <c r="E65" s="39"/>
      <c r="F65" s="41"/>
      <c r="G65" s="41"/>
      <c r="H65" s="41"/>
      <c r="I65" s="42">
        <f>IF(E65&lt;&gt;"",E65,0)</f>
        <v>0</v>
      </c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44"/>
      <c r="W65" s="44"/>
      <c r="X65" s="45" t="s">
        <v>171</v>
      </c>
      <c r="Y65" s="24"/>
      <c r="Z65" s="24"/>
    </row>
    <row r="66" spans="1:26" ht="28.05" customHeight="1" x14ac:dyDescent="0.3">
      <c r="A66" s="33"/>
      <c r="B66" s="33"/>
      <c r="C66" s="34" t="s">
        <v>172</v>
      </c>
      <c r="D66" s="33"/>
      <c r="E66" s="33"/>
      <c r="F66" s="35">
        <v>0.54</v>
      </c>
      <c r="G66" s="35">
        <v>0.5</v>
      </c>
      <c r="H66" s="35">
        <v>0.14000000000000001</v>
      </c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24"/>
      <c r="Z66" s="24"/>
    </row>
    <row r="67" spans="1:26" ht="18" customHeight="1" x14ac:dyDescent="0.3">
      <c r="B67" s="46" t="s">
        <v>173</v>
      </c>
      <c r="C67" s="47" t="s">
        <v>174</v>
      </c>
      <c r="D67" s="48" t="s">
        <v>86</v>
      </c>
      <c r="E67" s="49"/>
      <c r="F67" s="50">
        <f>$F$66</f>
        <v>0.54</v>
      </c>
      <c r="G67" s="51"/>
      <c r="H67" s="50">
        <f>$H$66</f>
        <v>0.14000000000000001</v>
      </c>
      <c r="I67" s="52">
        <f>IFERROR(F67*H67*IF(E67&lt;&gt;"",E67,1),"")</f>
        <v>7.5600000000000014E-2</v>
      </c>
      <c r="J67" s="49"/>
      <c r="K67" s="49"/>
      <c r="L67" s="49"/>
      <c r="M67" s="53">
        <f>I67</f>
        <v>7.5600000000000014E-2</v>
      </c>
      <c r="N67" s="49"/>
      <c r="O67" s="49"/>
      <c r="P67" s="49"/>
      <c r="Q67" s="49"/>
      <c r="R67" s="49"/>
      <c r="S67" s="49"/>
      <c r="T67" s="49"/>
      <c r="U67" s="49"/>
      <c r="V67" s="54"/>
      <c r="W67" s="54"/>
      <c r="X67" s="55"/>
      <c r="Y67" s="24"/>
      <c r="Z67" s="24"/>
    </row>
    <row r="68" spans="1:26" ht="18" customHeight="1" x14ac:dyDescent="0.3">
      <c r="B68" s="36" t="s">
        <v>175</v>
      </c>
      <c r="C68" s="37" t="s">
        <v>176</v>
      </c>
      <c r="D68" s="38" t="s">
        <v>86</v>
      </c>
      <c r="E68" s="57">
        <v>4</v>
      </c>
      <c r="F68" s="40">
        <f>$F$66</f>
        <v>0.54</v>
      </c>
      <c r="G68" s="41"/>
      <c r="H68" s="40">
        <f>$H$66</f>
        <v>0.14000000000000001</v>
      </c>
      <c r="I68" s="42">
        <f>IFERROR(F68*H68*IF(E68&lt;&gt;"",E68,1),"")</f>
        <v>0.30240000000000006</v>
      </c>
      <c r="J68" s="39"/>
      <c r="K68" s="39"/>
      <c r="L68" s="43">
        <f>I68</f>
        <v>0.30240000000000006</v>
      </c>
      <c r="M68" s="39"/>
      <c r="N68" s="39"/>
      <c r="O68" s="39"/>
      <c r="P68" s="39"/>
      <c r="Q68" s="39"/>
      <c r="R68" s="39"/>
      <c r="S68" s="39"/>
      <c r="T68" s="39"/>
      <c r="U68" s="39"/>
      <c r="V68" s="44"/>
      <c r="W68" s="44"/>
      <c r="X68" s="45"/>
      <c r="Y68" s="24"/>
      <c r="Z68" s="24"/>
    </row>
    <row r="69" spans="1:26" ht="18" customHeight="1" x14ac:dyDescent="0.3">
      <c r="B69" s="46" t="s">
        <v>177</v>
      </c>
      <c r="C69" s="47" t="s">
        <v>178</v>
      </c>
      <c r="D69" s="48" t="s">
        <v>86</v>
      </c>
      <c r="E69" s="49"/>
      <c r="F69" s="50">
        <f>$F$66</f>
        <v>0.54</v>
      </c>
      <c r="G69" s="50">
        <f>$G$66</f>
        <v>0.5</v>
      </c>
      <c r="H69" s="51"/>
      <c r="I69" s="52">
        <f>IFERROR(F69*G69*IF(E69&lt;&gt;"",E69,1),"")</f>
        <v>0.27</v>
      </c>
      <c r="J69" s="53">
        <f>I69</f>
        <v>0.27</v>
      </c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54"/>
      <c r="W69" s="54"/>
      <c r="X69" s="55"/>
      <c r="Y69" s="24"/>
      <c r="Z69" s="24"/>
    </row>
    <row r="70" spans="1:26" ht="18" customHeight="1" x14ac:dyDescent="0.3">
      <c r="B70" s="36" t="s">
        <v>179</v>
      </c>
      <c r="C70" s="37" t="s">
        <v>180</v>
      </c>
      <c r="D70" s="38" t="s">
        <v>99</v>
      </c>
      <c r="E70" s="39"/>
      <c r="F70" s="41"/>
      <c r="G70" s="41"/>
      <c r="H70" s="41"/>
      <c r="I70" s="42">
        <f>IF(E70&lt;&gt;"",E70,0)</f>
        <v>0</v>
      </c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43">
        <f>I70</f>
        <v>0</v>
      </c>
      <c r="V70" s="44"/>
      <c r="W70" s="44"/>
      <c r="X70" s="45" t="s">
        <v>181</v>
      </c>
      <c r="Y70" s="24"/>
      <c r="Z70" s="24"/>
    </row>
    <row r="71" spans="1:26" ht="18" customHeight="1" x14ac:dyDescent="0.3">
      <c r="B71" s="46" t="s">
        <v>182</v>
      </c>
      <c r="C71" s="47" t="s">
        <v>183</v>
      </c>
      <c r="D71" s="48" t="s">
        <v>99</v>
      </c>
      <c r="E71" s="49"/>
      <c r="F71" s="51"/>
      <c r="G71" s="51"/>
      <c r="H71" s="51"/>
      <c r="I71" s="52">
        <f>IF(E71&lt;&gt;"",E71,0)</f>
        <v>0</v>
      </c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54"/>
      <c r="W71" s="54"/>
      <c r="X71" s="55" t="s">
        <v>184</v>
      </c>
      <c r="Y71" s="24"/>
      <c r="Z71" s="24"/>
    </row>
    <row r="72" spans="1:26" ht="28.05" customHeight="1" x14ac:dyDescent="0.3">
      <c r="A72" s="33"/>
      <c r="B72" s="33"/>
      <c r="C72" s="34" t="s">
        <v>147</v>
      </c>
      <c r="D72" s="33"/>
      <c r="E72" s="33"/>
      <c r="F72" s="35">
        <v>1.45</v>
      </c>
      <c r="G72" s="59" t="s">
        <v>102</v>
      </c>
      <c r="H72" s="35">
        <v>0.77</v>
      </c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24"/>
      <c r="Z72" s="24"/>
    </row>
    <row r="73" spans="1:26" ht="18" customHeight="1" x14ac:dyDescent="0.3">
      <c r="B73" s="36" t="s">
        <v>185</v>
      </c>
      <c r="C73" s="37" t="s">
        <v>104</v>
      </c>
      <c r="D73" s="38" t="s">
        <v>86</v>
      </c>
      <c r="E73" s="39"/>
      <c r="F73" s="40">
        <f>$F$72</f>
        <v>1.45</v>
      </c>
      <c r="G73" s="41"/>
      <c r="H73" s="40">
        <f>$H$72</f>
        <v>0.77</v>
      </c>
      <c r="I73" s="42">
        <f>IFERROR(F73*H73*IF(E73&lt;&gt;"",E73,1),"")</f>
        <v>1.1165</v>
      </c>
      <c r="J73" s="39"/>
      <c r="K73" s="39"/>
      <c r="L73" s="39"/>
      <c r="M73" s="39"/>
      <c r="N73" s="43">
        <f>I73</f>
        <v>1.1165</v>
      </c>
      <c r="O73" s="39"/>
      <c r="P73" s="39"/>
      <c r="Q73" s="39"/>
      <c r="R73" s="39"/>
      <c r="S73" s="39"/>
      <c r="T73" s="39"/>
      <c r="U73" s="39"/>
      <c r="V73" s="44"/>
      <c r="W73" s="44"/>
      <c r="X73" s="45" t="s">
        <v>186</v>
      </c>
      <c r="Y73" s="24"/>
      <c r="Z73" s="24"/>
    </row>
    <row r="74" spans="1:26" ht="18" customHeight="1" x14ac:dyDescent="0.3">
      <c r="B74" s="46" t="s">
        <v>187</v>
      </c>
      <c r="C74" s="47" t="s">
        <v>107</v>
      </c>
      <c r="D74" s="48" t="s">
        <v>99</v>
      </c>
      <c r="E74" s="49"/>
      <c r="F74" s="51"/>
      <c r="G74" s="51"/>
      <c r="H74" s="51"/>
      <c r="I74" s="52">
        <f>IF(E74&lt;&gt;"",E74,0)</f>
        <v>0</v>
      </c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54"/>
      <c r="W74" s="54"/>
      <c r="X74" s="55" t="s">
        <v>188</v>
      </c>
      <c r="Y74" s="24"/>
      <c r="Z74" s="24"/>
    </row>
    <row r="75" spans="1:26" ht="28.05" customHeight="1" x14ac:dyDescent="0.3">
      <c r="A75" s="33"/>
      <c r="B75" s="33"/>
      <c r="C75" s="34" t="s">
        <v>189</v>
      </c>
      <c r="D75" s="33"/>
      <c r="E75" s="33"/>
      <c r="F75" s="35">
        <v>1.45</v>
      </c>
      <c r="G75" s="35">
        <v>0.63</v>
      </c>
      <c r="H75" s="59" t="s">
        <v>102</v>
      </c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24"/>
      <c r="Z75" s="24"/>
    </row>
    <row r="76" spans="1:26" ht="18" customHeight="1" x14ac:dyDescent="0.3">
      <c r="B76" s="36" t="s">
        <v>190</v>
      </c>
      <c r="C76" s="37" t="s">
        <v>191</v>
      </c>
      <c r="D76" s="38" t="s">
        <v>86</v>
      </c>
      <c r="E76" s="39"/>
      <c r="F76" s="40">
        <f>$F$75</f>
        <v>1.45</v>
      </c>
      <c r="G76" s="40">
        <f>$G$75</f>
        <v>0.63</v>
      </c>
      <c r="H76" s="41"/>
      <c r="I76" s="42">
        <f>IFERROR(F76*G76*IF(E76&lt;&gt;"",E76,1),"")</f>
        <v>0.91349999999999998</v>
      </c>
      <c r="J76" s="39"/>
      <c r="K76" s="39"/>
      <c r="L76" s="39"/>
      <c r="M76" s="39"/>
      <c r="N76" s="39"/>
      <c r="O76" s="43">
        <f>I76</f>
        <v>0.91349999999999998</v>
      </c>
      <c r="P76" s="39"/>
      <c r="Q76" s="39"/>
      <c r="R76" s="39"/>
      <c r="S76" s="39"/>
      <c r="T76" s="39"/>
      <c r="U76" s="39"/>
      <c r="V76" s="44"/>
      <c r="W76" s="44"/>
      <c r="X76" s="45"/>
      <c r="Y76" s="24"/>
      <c r="Z76" s="24"/>
    </row>
    <row r="77" spans="1:26" ht="28.05" customHeight="1" x14ac:dyDescent="0.3">
      <c r="A77" s="33"/>
      <c r="B77" s="33"/>
      <c r="C77" s="34" t="s">
        <v>129</v>
      </c>
      <c r="D77" s="33"/>
      <c r="E77" s="33"/>
      <c r="F77" s="59" t="s">
        <v>102</v>
      </c>
      <c r="G77" s="59" t="s">
        <v>102</v>
      </c>
      <c r="H77" s="59" t="s">
        <v>102</v>
      </c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24"/>
      <c r="Z77" s="24"/>
    </row>
    <row r="78" spans="1:26" ht="18" customHeight="1" x14ac:dyDescent="0.3">
      <c r="B78" s="46" t="s">
        <v>192</v>
      </c>
      <c r="C78" s="47" t="s">
        <v>131</v>
      </c>
      <c r="D78" s="48" t="s">
        <v>132</v>
      </c>
      <c r="E78" s="49"/>
      <c r="F78" s="51"/>
      <c r="G78" s="51"/>
      <c r="H78" s="51"/>
      <c r="I78" s="52">
        <f>IF(E78&lt;&gt;"",E78,0)</f>
        <v>0</v>
      </c>
      <c r="J78" s="49"/>
      <c r="K78" s="49"/>
      <c r="L78" s="49"/>
      <c r="M78" s="49"/>
      <c r="N78" s="49"/>
      <c r="O78" s="49"/>
      <c r="P78" s="49"/>
      <c r="Q78" s="49"/>
      <c r="R78" s="53">
        <f>I78</f>
        <v>0</v>
      </c>
      <c r="S78" s="49"/>
      <c r="T78" s="49"/>
      <c r="U78" s="49"/>
      <c r="V78" s="54"/>
      <c r="W78" s="54"/>
      <c r="X78" s="55"/>
      <c r="Y78" s="24"/>
      <c r="Z78" s="24"/>
    </row>
    <row r="79" spans="1:26" ht="18" customHeight="1" x14ac:dyDescent="0.3">
      <c r="B79" s="36" t="s">
        <v>193</v>
      </c>
      <c r="C79" s="37" t="s">
        <v>194</v>
      </c>
      <c r="D79" s="38" t="s">
        <v>195</v>
      </c>
      <c r="E79" s="39"/>
      <c r="F79" s="41"/>
      <c r="G79" s="41"/>
      <c r="H79" s="41"/>
      <c r="I79" s="42">
        <f>IF(E79&lt;&gt;"",E79,0)</f>
        <v>0</v>
      </c>
      <c r="J79" s="39"/>
      <c r="K79" s="39"/>
      <c r="L79" s="39"/>
      <c r="M79" s="39"/>
      <c r="N79" s="39"/>
      <c r="O79" s="39"/>
      <c r="P79" s="39"/>
      <c r="Q79" s="39"/>
      <c r="R79" s="39"/>
      <c r="S79" s="43">
        <f>I79</f>
        <v>0</v>
      </c>
      <c r="T79" s="39"/>
      <c r="U79" s="39"/>
      <c r="V79" s="44"/>
      <c r="W79" s="44"/>
      <c r="X79" s="45"/>
      <c r="Y79" s="24"/>
      <c r="Z79" s="24"/>
    </row>
    <row r="80" spans="1:26" ht="18" customHeight="1" x14ac:dyDescent="0.3">
      <c r="B80" s="46" t="s">
        <v>196</v>
      </c>
      <c r="C80" s="47" t="s">
        <v>197</v>
      </c>
      <c r="D80" s="48" t="s">
        <v>99</v>
      </c>
      <c r="E80" s="49"/>
      <c r="F80" s="51"/>
      <c r="G80" s="51"/>
      <c r="H80" s="51"/>
      <c r="I80" s="52">
        <f>IF(E80&lt;&gt;"",E80,0)</f>
        <v>0</v>
      </c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54"/>
      <c r="W80" s="54"/>
      <c r="X80" s="55" t="s">
        <v>198</v>
      </c>
      <c r="Y80" s="24"/>
      <c r="Z80" s="24"/>
    </row>
    <row r="81" spans="1:26" ht="19.95" customHeight="1" x14ac:dyDescent="0.3">
      <c r="I81" s="60" t="s">
        <v>134</v>
      </c>
      <c r="J81" s="61">
        <f t="shared" ref="J81:U81" si="2">SUM(J58:J80)</f>
        <v>0.27</v>
      </c>
      <c r="K81" s="61">
        <f t="shared" si="2"/>
        <v>1.1165</v>
      </c>
      <c r="L81" s="61">
        <f t="shared" si="2"/>
        <v>0.30240000000000006</v>
      </c>
      <c r="M81" s="61">
        <f t="shared" si="2"/>
        <v>5.2416</v>
      </c>
      <c r="N81" s="61">
        <f t="shared" si="2"/>
        <v>1.1165</v>
      </c>
      <c r="O81" s="61">
        <f t="shared" si="2"/>
        <v>0.91349999999999998</v>
      </c>
      <c r="P81" s="61">
        <f t="shared" si="2"/>
        <v>0</v>
      </c>
      <c r="Q81" s="61">
        <f t="shared" si="2"/>
        <v>0</v>
      </c>
      <c r="R81" s="61">
        <f t="shared" si="2"/>
        <v>0</v>
      </c>
      <c r="S81" s="61">
        <f t="shared" si="2"/>
        <v>0</v>
      </c>
      <c r="T81" s="61">
        <f t="shared" si="2"/>
        <v>0</v>
      </c>
      <c r="U81" s="61">
        <f t="shared" si="2"/>
        <v>0</v>
      </c>
      <c r="Y81" s="24"/>
      <c r="Z81" s="24"/>
    </row>
    <row r="82" spans="1:26" ht="22.05" customHeight="1" x14ac:dyDescent="0.3">
      <c r="H82" s="62">
        <f>H2</f>
        <v>58</v>
      </c>
      <c r="I82" s="63" t="s">
        <v>135</v>
      </c>
      <c r="J82" s="64">
        <f>J81*H2/2.88</f>
        <v>5.4375</v>
      </c>
      <c r="K82" s="64">
        <f>K81*H2/2.88</f>
        <v>22.485069444444449</v>
      </c>
      <c r="L82" s="64">
        <f>L81*H2/2.88</f>
        <v>6.0900000000000016</v>
      </c>
      <c r="M82" s="64">
        <f>M81*H2/2.88</f>
        <v>105.56000000000002</v>
      </c>
      <c r="N82" s="64">
        <f>N81*H2/2.88</f>
        <v>22.485069444444449</v>
      </c>
      <c r="O82" s="64">
        <f>O81*H2/2.88</f>
        <v>18.396874999999998</v>
      </c>
      <c r="P82" s="64">
        <f>P81*H2/2.88</f>
        <v>0</v>
      </c>
      <c r="Q82" s="64">
        <f>Q81*H2/2.88</f>
        <v>0</v>
      </c>
      <c r="R82" s="64">
        <f>R81*H2</f>
        <v>0</v>
      </c>
      <c r="S82" s="64">
        <f>S81*H2</f>
        <v>0</v>
      </c>
      <c r="T82" s="64">
        <f>T81*H2/2.88</f>
        <v>0</v>
      </c>
      <c r="U82" s="64">
        <f>U81*H2/2.88</f>
        <v>0</v>
      </c>
      <c r="Y82" s="24"/>
      <c r="Z82" s="24"/>
    </row>
    <row r="83" spans="1:26" ht="10.050000000000001" customHeight="1" x14ac:dyDescent="0.3">
      <c r="Y83" s="24"/>
      <c r="Z83" s="24"/>
    </row>
    <row r="84" spans="1:26" ht="31.95" customHeight="1" x14ac:dyDescent="0.3">
      <c r="A84" s="27"/>
      <c r="B84" s="28" t="s">
        <v>199</v>
      </c>
      <c r="C84" s="29" t="s">
        <v>61</v>
      </c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30" t="s">
        <v>200</v>
      </c>
      <c r="Y84" s="24"/>
      <c r="Z84" s="24"/>
    </row>
    <row r="85" spans="1:26" ht="60" customHeight="1" x14ac:dyDescent="0.3">
      <c r="A85" s="31"/>
      <c r="B85" s="31" t="s">
        <v>63</v>
      </c>
      <c r="C85" s="31" t="s">
        <v>30</v>
      </c>
      <c r="D85" s="31" t="s">
        <v>64</v>
      </c>
      <c r="E85" s="31" t="s">
        <v>65</v>
      </c>
      <c r="F85" s="31" t="s">
        <v>66</v>
      </c>
      <c r="G85" s="31" t="s">
        <v>67</v>
      </c>
      <c r="H85" s="31" t="s">
        <v>68</v>
      </c>
      <c r="I85" s="31" t="s">
        <v>69</v>
      </c>
      <c r="J85" s="31" t="s">
        <v>70</v>
      </c>
      <c r="K85" s="31" t="s">
        <v>71</v>
      </c>
      <c r="L85" s="31" t="s">
        <v>72</v>
      </c>
      <c r="M85" s="31" t="s">
        <v>73</v>
      </c>
      <c r="N85" s="31" t="s">
        <v>74</v>
      </c>
      <c r="O85" s="31" t="s">
        <v>75</v>
      </c>
      <c r="P85" s="31" t="s">
        <v>76</v>
      </c>
      <c r="Q85" s="31" t="s">
        <v>77</v>
      </c>
      <c r="R85" s="31" t="s">
        <v>78</v>
      </c>
      <c r="S85" s="31" t="s">
        <v>79</v>
      </c>
      <c r="T85" s="31" t="s">
        <v>80</v>
      </c>
      <c r="U85" s="31" t="s">
        <v>81</v>
      </c>
      <c r="V85" s="32"/>
      <c r="W85" s="32"/>
      <c r="X85" s="31" t="s">
        <v>82</v>
      </c>
      <c r="Y85" s="24"/>
      <c r="Z85" s="24"/>
    </row>
    <row r="86" spans="1:26" ht="28.05" customHeight="1" x14ac:dyDescent="0.3">
      <c r="A86" s="33"/>
      <c r="B86" s="33"/>
      <c r="C86" s="34" t="s">
        <v>138</v>
      </c>
      <c r="D86" s="33"/>
      <c r="E86" s="33"/>
      <c r="F86" s="35">
        <v>1.18</v>
      </c>
      <c r="G86" s="35">
        <v>0.62</v>
      </c>
      <c r="H86" s="35">
        <v>0.76</v>
      </c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24"/>
      <c r="Z86" s="24"/>
    </row>
    <row r="87" spans="1:26" ht="18" customHeight="1" x14ac:dyDescent="0.3">
      <c r="B87" s="36" t="s">
        <v>201</v>
      </c>
      <c r="C87" s="37" t="s">
        <v>85</v>
      </c>
      <c r="D87" s="38" t="s">
        <v>86</v>
      </c>
      <c r="E87" s="39"/>
      <c r="F87" s="40">
        <f>$F$86</f>
        <v>1.18</v>
      </c>
      <c r="G87" s="41"/>
      <c r="H87" s="40">
        <f>$H$86</f>
        <v>0.76</v>
      </c>
      <c r="I87" s="42">
        <f>IFERROR(F87*H87*IF(E87&lt;&gt;"",E87,1),"")</f>
        <v>0.89679999999999993</v>
      </c>
      <c r="J87" s="39"/>
      <c r="K87" s="43">
        <f>I87</f>
        <v>0.89679999999999993</v>
      </c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44"/>
      <c r="W87" s="44"/>
      <c r="X87" s="45"/>
      <c r="Y87" s="24"/>
      <c r="Z87" s="24"/>
    </row>
    <row r="88" spans="1:26" ht="18" customHeight="1" x14ac:dyDescent="0.3">
      <c r="B88" s="46" t="s">
        <v>202</v>
      </c>
      <c r="C88" s="47" t="s">
        <v>88</v>
      </c>
      <c r="D88" s="48" t="s">
        <v>86</v>
      </c>
      <c r="E88" s="49"/>
      <c r="F88" s="50">
        <f>$F$86</f>
        <v>1.18</v>
      </c>
      <c r="G88" s="50">
        <f>$G$86</f>
        <v>0.62</v>
      </c>
      <c r="H88" s="51"/>
      <c r="I88" s="52">
        <f>IFERROR(F88*G88*IF(E88&lt;&gt;"",E88,1),"")</f>
        <v>0.73159999999999992</v>
      </c>
      <c r="J88" s="49"/>
      <c r="K88" s="49"/>
      <c r="L88" s="49"/>
      <c r="M88" s="53">
        <f>I88</f>
        <v>0.73159999999999992</v>
      </c>
      <c r="N88" s="49"/>
      <c r="O88" s="49"/>
      <c r="P88" s="49"/>
      <c r="Q88" s="49"/>
      <c r="R88" s="49"/>
      <c r="S88" s="49"/>
      <c r="T88" s="49"/>
      <c r="U88" s="49"/>
      <c r="V88" s="54"/>
      <c r="W88" s="54"/>
      <c r="X88" s="55"/>
      <c r="Y88" s="24"/>
      <c r="Z88" s="24"/>
    </row>
    <row r="89" spans="1:26" ht="18" customHeight="1" x14ac:dyDescent="0.3">
      <c r="B89" s="36" t="s">
        <v>203</v>
      </c>
      <c r="C89" s="37" t="s">
        <v>163</v>
      </c>
      <c r="D89" s="38" t="s">
        <v>86</v>
      </c>
      <c r="E89" s="39"/>
      <c r="F89" s="40">
        <f>$F$86</f>
        <v>1.18</v>
      </c>
      <c r="G89" s="40">
        <f>$G$86</f>
        <v>0.62</v>
      </c>
      <c r="H89" s="41"/>
      <c r="I89" s="42">
        <f>IFERROR(F89*G89*IF(E89&lt;&gt;"",E89,1),"")</f>
        <v>0.73159999999999992</v>
      </c>
      <c r="J89" s="39"/>
      <c r="K89" s="39"/>
      <c r="L89" s="39"/>
      <c r="M89" s="43">
        <f>I89</f>
        <v>0.73159999999999992</v>
      </c>
      <c r="N89" s="39"/>
      <c r="O89" s="39"/>
      <c r="P89" s="39"/>
      <c r="Q89" s="39"/>
      <c r="R89" s="39"/>
      <c r="S89" s="39"/>
      <c r="T89" s="39"/>
      <c r="U89" s="39"/>
      <c r="V89" s="44"/>
      <c r="W89" s="44"/>
      <c r="X89" s="45" t="s">
        <v>164</v>
      </c>
      <c r="Y89" s="24"/>
      <c r="Z89" s="24"/>
    </row>
    <row r="90" spans="1:26" ht="18" customHeight="1" x14ac:dyDescent="0.3">
      <c r="B90" s="46" t="s">
        <v>204</v>
      </c>
      <c r="C90" s="47" t="s">
        <v>92</v>
      </c>
      <c r="D90" s="48" t="s">
        <v>86</v>
      </c>
      <c r="E90" s="56">
        <v>2</v>
      </c>
      <c r="F90" s="51"/>
      <c r="G90" s="50">
        <f>$G$86</f>
        <v>0.62</v>
      </c>
      <c r="H90" s="50">
        <f>$H$86</f>
        <v>0.76</v>
      </c>
      <c r="I90" s="52">
        <f>IFERROR(G90*H90*IF(E90&lt;&gt;"",E90,1),"")</f>
        <v>0.94240000000000002</v>
      </c>
      <c r="J90" s="49"/>
      <c r="K90" s="49"/>
      <c r="L90" s="49"/>
      <c r="M90" s="53">
        <f>I90</f>
        <v>0.94240000000000002</v>
      </c>
      <c r="N90" s="49"/>
      <c r="O90" s="49"/>
      <c r="P90" s="49"/>
      <c r="Q90" s="49"/>
      <c r="R90" s="49"/>
      <c r="S90" s="49"/>
      <c r="T90" s="49"/>
      <c r="U90" s="49"/>
      <c r="V90" s="54"/>
      <c r="W90" s="54"/>
      <c r="X90" s="55"/>
      <c r="Y90" s="24"/>
      <c r="Z90" s="24"/>
    </row>
    <row r="91" spans="1:26" ht="18" customHeight="1" x14ac:dyDescent="0.3">
      <c r="B91" s="36" t="s">
        <v>205</v>
      </c>
      <c r="C91" s="37" t="s">
        <v>94</v>
      </c>
      <c r="D91" s="38" t="s">
        <v>86</v>
      </c>
      <c r="E91" s="57">
        <v>2</v>
      </c>
      <c r="F91" s="41"/>
      <c r="G91" s="40">
        <f>$G$86</f>
        <v>0.62</v>
      </c>
      <c r="H91" s="40">
        <f>$H$86</f>
        <v>0.76</v>
      </c>
      <c r="I91" s="42">
        <f>IFERROR(G91*H91*IF(E91&lt;&gt;"",E91,1),"")</f>
        <v>0.94240000000000002</v>
      </c>
      <c r="J91" s="39"/>
      <c r="K91" s="39"/>
      <c r="L91" s="39"/>
      <c r="M91" s="43">
        <f>I91</f>
        <v>0.94240000000000002</v>
      </c>
      <c r="N91" s="39"/>
      <c r="O91" s="39"/>
      <c r="P91" s="39"/>
      <c r="Q91" s="39"/>
      <c r="R91" s="39"/>
      <c r="S91" s="39"/>
      <c r="T91" s="39"/>
      <c r="U91" s="39"/>
      <c r="V91" s="44"/>
      <c r="W91" s="44"/>
      <c r="X91" s="45"/>
      <c r="Y91" s="24"/>
      <c r="Z91" s="24"/>
    </row>
    <row r="92" spans="1:26" ht="18" customHeight="1" x14ac:dyDescent="0.3">
      <c r="B92" s="46" t="s">
        <v>206</v>
      </c>
      <c r="C92" s="47" t="s">
        <v>168</v>
      </c>
      <c r="D92" s="48" t="s">
        <v>86</v>
      </c>
      <c r="E92" s="49"/>
      <c r="F92" s="50">
        <f>$F$86</f>
        <v>1.18</v>
      </c>
      <c r="G92" s="50">
        <f>$G$86</f>
        <v>0.62</v>
      </c>
      <c r="H92" s="51"/>
      <c r="I92" s="52">
        <f>IFERROR(F92*G92*IF(E92&lt;&gt;"",E92,1),"")</f>
        <v>0.73159999999999992</v>
      </c>
      <c r="J92" s="49"/>
      <c r="K92" s="49"/>
      <c r="L92" s="49"/>
      <c r="M92" s="53">
        <f>I92</f>
        <v>0.73159999999999992</v>
      </c>
      <c r="N92" s="49"/>
      <c r="O92" s="49"/>
      <c r="P92" s="49"/>
      <c r="Q92" s="49"/>
      <c r="R92" s="49"/>
      <c r="S92" s="49"/>
      <c r="T92" s="49"/>
      <c r="U92" s="49"/>
      <c r="V92" s="54"/>
      <c r="W92" s="54"/>
      <c r="X92" s="55" t="s">
        <v>207</v>
      </c>
      <c r="Y92" s="24"/>
      <c r="Z92" s="24"/>
    </row>
    <row r="93" spans="1:26" ht="18" customHeight="1" x14ac:dyDescent="0.3">
      <c r="B93" s="36" t="s">
        <v>208</v>
      </c>
      <c r="C93" s="37" t="s">
        <v>98</v>
      </c>
      <c r="D93" s="38" t="s">
        <v>99</v>
      </c>
      <c r="E93" s="39"/>
      <c r="F93" s="41"/>
      <c r="G93" s="41"/>
      <c r="H93" s="41"/>
      <c r="I93" s="42">
        <f>IF(E93&lt;&gt;"",E93,0)</f>
        <v>0</v>
      </c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44"/>
      <c r="W93" s="44"/>
      <c r="X93" s="45" t="s">
        <v>209</v>
      </c>
      <c r="Y93" s="24"/>
      <c r="Z93" s="24"/>
    </row>
    <row r="94" spans="1:26" ht="28.05" customHeight="1" x14ac:dyDescent="0.3">
      <c r="A94" s="33"/>
      <c r="B94" s="33"/>
      <c r="C94" s="34" t="s">
        <v>210</v>
      </c>
      <c r="D94" s="33"/>
      <c r="E94" s="33"/>
      <c r="F94" s="35">
        <v>0.59</v>
      </c>
      <c r="G94" s="35">
        <v>0.5</v>
      </c>
      <c r="H94" s="35">
        <v>0.17499999999999999</v>
      </c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24"/>
      <c r="Z94" s="24"/>
    </row>
    <row r="95" spans="1:26" ht="18" customHeight="1" x14ac:dyDescent="0.3">
      <c r="B95" s="46" t="s">
        <v>211</v>
      </c>
      <c r="C95" s="47" t="s">
        <v>212</v>
      </c>
      <c r="D95" s="48" t="s">
        <v>86</v>
      </c>
      <c r="E95" s="49"/>
      <c r="F95" s="50">
        <f>$F$94</f>
        <v>0.59</v>
      </c>
      <c r="G95" s="51"/>
      <c r="H95" s="50">
        <f>$H$94</f>
        <v>0.17499999999999999</v>
      </c>
      <c r="I95" s="52">
        <f>IFERROR(F95*H95*IF(E95&lt;&gt;"",E95,1),"")</f>
        <v>0.10324999999999999</v>
      </c>
      <c r="J95" s="49"/>
      <c r="K95" s="49"/>
      <c r="L95" s="49"/>
      <c r="M95" s="53">
        <f>I95</f>
        <v>0.10324999999999999</v>
      </c>
      <c r="N95" s="49"/>
      <c r="O95" s="49"/>
      <c r="P95" s="49"/>
      <c r="Q95" s="49"/>
      <c r="R95" s="49"/>
      <c r="S95" s="49"/>
      <c r="T95" s="49"/>
      <c r="U95" s="49"/>
      <c r="V95" s="54"/>
      <c r="W95" s="54"/>
      <c r="X95" s="55"/>
      <c r="Y95" s="24"/>
      <c r="Z95" s="24"/>
    </row>
    <row r="96" spans="1:26" ht="18" customHeight="1" x14ac:dyDescent="0.3">
      <c r="B96" s="36" t="s">
        <v>213</v>
      </c>
      <c r="C96" s="37" t="s">
        <v>176</v>
      </c>
      <c r="D96" s="38" t="s">
        <v>86</v>
      </c>
      <c r="E96" s="57">
        <v>4</v>
      </c>
      <c r="F96" s="40">
        <f>$F$94</f>
        <v>0.59</v>
      </c>
      <c r="G96" s="41"/>
      <c r="H96" s="40">
        <f>$H$94</f>
        <v>0.17499999999999999</v>
      </c>
      <c r="I96" s="42">
        <f>IFERROR(F96*H96*IF(E96&lt;&gt;"",E96,1),"")</f>
        <v>0.41299999999999998</v>
      </c>
      <c r="J96" s="39"/>
      <c r="K96" s="39"/>
      <c r="L96" s="43">
        <f>I96</f>
        <v>0.41299999999999998</v>
      </c>
      <c r="M96" s="39"/>
      <c r="N96" s="39"/>
      <c r="O96" s="39"/>
      <c r="P96" s="39"/>
      <c r="Q96" s="39"/>
      <c r="R96" s="39"/>
      <c r="S96" s="39"/>
      <c r="T96" s="39"/>
      <c r="U96" s="39"/>
      <c r="V96" s="44"/>
      <c r="W96" s="44"/>
      <c r="X96" s="45"/>
      <c r="Y96" s="24"/>
      <c r="Z96" s="24"/>
    </row>
    <row r="97" spans="1:26" ht="18" customHeight="1" x14ac:dyDescent="0.3">
      <c r="B97" s="46" t="s">
        <v>214</v>
      </c>
      <c r="C97" s="47" t="s">
        <v>215</v>
      </c>
      <c r="D97" s="48" t="s">
        <v>86</v>
      </c>
      <c r="E97" s="49"/>
      <c r="F97" s="50">
        <f>$F$94</f>
        <v>0.59</v>
      </c>
      <c r="G97" s="50">
        <f>$G$94</f>
        <v>0.5</v>
      </c>
      <c r="H97" s="51"/>
      <c r="I97" s="52">
        <f>IFERROR(F97*G97*IF(E97&lt;&gt;"",E97,1),"")</f>
        <v>0.29499999999999998</v>
      </c>
      <c r="J97" s="53">
        <f>I97</f>
        <v>0.29499999999999998</v>
      </c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54"/>
      <c r="W97" s="54"/>
      <c r="X97" s="55"/>
      <c r="Y97" s="24"/>
      <c r="Z97" s="24"/>
    </row>
    <row r="98" spans="1:26" ht="18" customHeight="1" x14ac:dyDescent="0.3">
      <c r="B98" s="36" t="s">
        <v>216</v>
      </c>
      <c r="C98" s="37" t="s">
        <v>217</v>
      </c>
      <c r="D98" s="38" t="s">
        <v>99</v>
      </c>
      <c r="E98" s="39"/>
      <c r="F98" s="41"/>
      <c r="G98" s="41"/>
      <c r="H98" s="41"/>
      <c r="I98" s="42">
        <f>IF(E98&lt;&gt;"",E98,0)</f>
        <v>0</v>
      </c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43">
        <f>I98</f>
        <v>0</v>
      </c>
      <c r="V98" s="44"/>
      <c r="W98" s="44"/>
      <c r="X98" s="45" t="s">
        <v>218</v>
      </c>
      <c r="Y98" s="24"/>
      <c r="Z98" s="24"/>
    </row>
    <row r="99" spans="1:26" ht="18" customHeight="1" x14ac:dyDescent="0.3">
      <c r="B99" s="46" t="s">
        <v>219</v>
      </c>
      <c r="C99" s="47" t="s">
        <v>220</v>
      </c>
      <c r="D99" s="48" t="s">
        <v>99</v>
      </c>
      <c r="E99" s="49"/>
      <c r="F99" s="51"/>
      <c r="G99" s="51"/>
      <c r="H99" s="51"/>
      <c r="I99" s="52">
        <f>IF(E99&lt;&gt;"",E99,0)</f>
        <v>0</v>
      </c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54"/>
      <c r="W99" s="54"/>
      <c r="X99" s="55" t="s">
        <v>221</v>
      </c>
      <c r="Y99" s="24"/>
      <c r="Z99" s="24"/>
    </row>
    <row r="100" spans="1:26" ht="28.05" customHeight="1" x14ac:dyDescent="0.3">
      <c r="A100" s="33"/>
      <c r="B100" s="33"/>
      <c r="C100" s="34" t="s">
        <v>222</v>
      </c>
      <c r="D100" s="33"/>
      <c r="E100" s="33"/>
      <c r="F100" s="35">
        <v>0.59</v>
      </c>
      <c r="G100" s="35">
        <v>0.5</v>
      </c>
      <c r="H100" s="35">
        <v>0.375</v>
      </c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24"/>
      <c r="Z100" s="24"/>
    </row>
    <row r="101" spans="1:26" ht="18" customHeight="1" x14ac:dyDescent="0.3">
      <c r="B101" s="36" t="s">
        <v>223</v>
      </c>
      <c r="C101" s="37" t="s">
        <v>224</v>
      </c>
      <c r="D101" s="38" t="s">
        <v>86</v>
      </c>
      <c r="E101" s="39"/>
      <c r="F101" s="40">
        <f>$F$100</f>
        <v>0.59</v>
      </c>
      <c r="G101" s="41"/>
      <c r="H101" s="40">
        <f>$H$100</f>
        <v>0.375</v>
      </c>
      <c r="I101" s="42">
        <f>IFERROR(F101*H101*IF(E101&lt;&gt;"",E101,1),"")</f>
        <v>0.22125</v>
      </c>
      <c r="J101" s="39"/>
      <c r="K101" s="39"/>
      <c r="L101" s="39"/>
      <c r="M101" s="43">
        <f>I101</f>
        <v>0.22125</v>
      </c>
      <c r="N101" s="39"/>
      <c r="O101" s="39"/>
      <c r="P101" s="39"/>
      <c r="Q101" s="39"/>
      <c r="R101" s="39"/>
      <c r="S101" s="39"/>
      <c r="T101" s="39"/>
      <c r="U101" s="39"/>
      <c r="V101" s="44"/>
      <c r="W101" s="44"/>
      <c r="X101" s="45"/>
      <c r="Y101" s="24"/>
      <c r="Z101" s="24"/>
    </row>
    <row r="102" spans="1:26" ht="18" customHeight="1" x14ac:dyDescent="0.3">
      <c r="B102" s="46" t="s">
        <v>225</v>
      </c>
      <c r="C102" s="47" t="s">
        <v>176</v>
      </c>
      <c r="D102" s="48" t="s">
        <v>86</v>
      </c>
      <c r="E102" s="56">
        <v>4</v>
      </c>
      <c r="F102" s="50">
        <f>$F$100</f>
        <v>0.59</v>
      </c>
      <c r="G102" s="51"/>
      <c r="H102" s="50">
        <f>$H$100</f>
        <v>0.375</v>
      </c>
      <c r="I102" s="52">
        <f>IFERROR(F102*H102*IF(E102&lt;&gt;"",E102,1),"")</f>
        <v>0.88500000000000001</v>
      </c>
      <c r="J102" s="49"/>
      <c r="K102" s="49"/>
      <c r="L102" s="53">
        <f>I102</f>
        <v>0.88500000000000001</v>
      </c>
      <c r="M102" s="49"/>
      <c r="N102" s="49"/>
      <c r="O102" s="49"/>
      <c r="P102" s="49"/>
      <c r="Q102" s="49"/>
      <c r="R102" s="49"/>
      <c r="S102" s="49"/>
      <c r="T102" s="49"/>
      <c r="U102" s="49"/>
      <c r="V102" s="54"/>
      <c r="W102" s="54"/>
      <c r="X102" s="55"/>
      <c r="Y102" s="24"/>
      <c r="Z102" s="24"/>
    </row>
    <row r="103" spans="1:26" ht="18" customHeight="1" x14ac:dyDescent="0.3">
      <c r="B103" s="36" t="s">
        <v>226</v>
      </c>
      <c r="C103" s="37" t="s">
        <v>215</v>
      </c>
      <c r="D103" s="38" t="s">
        <v>86</v>
      </c>
      <c r="E103" s="39"/>
      <c r="F103" s="40">
        <f>$F$100</f>
        <v>0.59</v>
      </c>
      <c r="G103" s="40">
        <f>$G$100</f>
        <v>0.5</v>
      </c>
      <c r="H103" s="41"/>
      <c r="I103" s="42">
        <f>IFERROR(F103*G103*IF(E103&lt;&gt;"",E103,1),"")</f>
        <v>0.29499999999999998</v>
      </c>
      <c r="J103" s="43">
        <f>I103</f>
        <v>0.29499999999999998</v>
      </c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44"/>
      <c r="W103" s="44"/>
      <c r="X103" s="45"/>
      <c r="Y103" s="24"/>
      <c r="Z103" s="24"/>
    </row>
    <row r="104" spans="1:26" ht="18" customHeight="1" x14ac:dyDescent="0.3">
      <c r="B104" s="46" t="s">
        <v>227</v>
      </c>
      <c r="C104" s="47" t="s">
        <v>217</v>
      </c>
      <c r="D104" s="48" t="s">
        <v>99</v>
      </c>
      <c r="E104" s="49"/>
      <c r="F104" s="51"/>
      <c r="G104" s="51"/>
      <c r="H104" s="51"/>
      <c r="I104" s="52">
        <f>IF(E104&lt;&gt;"",E104,0)</f>
        <v>0</v>
      </c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53">
        <f>I104</f>
        <v>0</v>
      </c>
      <c r="V104" s="54"/>
      <c r="W104" s="54"/>
      <c r="X104" s="55" t="s">
        <v>228</v>
      </c>
      <c r="Y104" s="24"/>
      <c r="Z104" s="24"/>
    </row>
    <row r="105" spans="1:26" ht="18" customHeight="1" x14ac:dyDescent="0.3">
      <c r="B105" s="36" t="s">
        <v>229</v>
      </c>
      <c r="C105" s="37" t="s">
        <v>220</v>
      </c>
      <c r="D105" s="38" t="s">
        <v>99</v>
      </c>
      <c r="E105" s="39"/>
      <c r="F105" s="41"/>
      <c r="G105" s="41"/>
      <c r="H105" s="41"/>
      <c r="I105" s="42">
        <f>IF(E105&lt;&gt;"",E105,0)</f>
        <v>0</v>
      </c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44"/>
      <c r="W105" s="44"/>
      <c r="X105" s="45" t="s">
        <v>221</v>
      </c>
      <c r="Y105" s="24"/>
      <c r="Z105" s="24"/>
    </row>
    <row r="106" spans="1:26" ht="28.05" customHeight="1" x14ac:dyDescent="0.3">
      <c r="A106" s="33"/>
      <c r="B106" s="33"/>
      <c r="C106" s="34" t="s">
        <v>147</v>
      </c>
      <c r="D106" s="33"/>
      <c r="E106" s="33"/>
      <c r="F106" s="35">
        <v>1.18</v>
      </c>
      <c r="G106" s="59" t="s">
        <v>102</v>
      </c>
      <c r="H106" s="35">
        <v>0.76</v>
      </c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24"/>
      <c r="Z106" s="24"/>
    </row>
    <row r="107" spans="1:26" ht="18" customHeight="1" x14ac:dyDescent="0.3">
      <c r="B107" s="46" t="s">
        <v>230</v>
      </c>
      <c r="C107" s="47" t="s">
        <v>104</v>
      </c>
      <c r="D107" s="48" t="s">
        <v>86</v>
      </c>
      <c r="E107" s="49"/>
      <c r="F107" s="50">
        <f>$F$106</f>
        <v>1.18</v>
      </c>
      <c r="G107" s="51"/>
      <c r="H107" s="50">
        <f>$H$106</f>
        <v>0.76</v>
      </c>
      <c r="I107" s="52">
        <f>IFERROR(F107*H107*IF(E107&lt;&gt;"",E107,1),"")</f>
        <v>0.89679999999999993</v>
      </c>
      <c r="J107" s="49"/>
      <c r="K107" s="49"/>
      <c r="L107" s="49"/>
      <c r="M107" s="49"/>
      <c r="N107" s="53">
        <f>I107</f>
        <v>0.89679999999999993</v>
      </c>
      <c r="O107" s="49"/>
      <c r="P107" s="49"/>
      <c r="Q107" s="49"/>
      <c r="R107" s="49"/>
      <c r="S107" s="49"/>
      <c r="T107" s="49"/>
      <c r="U107" s="49"/>
      <c r="V107" s="54"/>
      <c r="W107" s="54"/>
      <c r="X107" s="55" t="s">
        <v>231</v>
      </c>
      <c r="Y107" s="24"/>
      <c r="Z107" s="24"/>
    </row>
    <row r="108" spans="1:26" ht="18" customHeight="1" x14ac:dyDescent="0.3">
      <c r="B108" s="36" t="s">
        <v>232</v>
      </c>
      <c r="C108" s="37" t="s">
        <v>107</v>
      </c>
      <c r="D108" s="38" t="s">
        <v>99</v>
      </c>
      <c r="E108" s="39"/>
      <c r="F108" s="41"/>
      <c r="G108" s="41"/>
      <c r="H108" s="41"/>
      <c r="I108" s="42">
        <f>IF(E108&lt;&gt;"",E108,0)</f>
        <v>0</v>
      </c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44"/>
      <c r="W108" s="44"/>
      <c r="X108" s="45" t="s">
        <v>233</v>
      </c>
      <c r="Y108" s="24"/>
      <c r="Z108" s="24"/>
    </row>
    <row r="109" spans="1:26" ht="28.05" customHeight="1" x14ac:dyDescent="0.3">
      <c r="A109" s="33"/>
      <c r="B109" s="33"/>
      <c r="C109" s="34" t="s">
        <v>189</v>
      </c>
      <c r="D109" s="33"/>
      <c r="E109" s="33"/>
      <c r="F109" s="35">
        <v>1.18</v>
      </c>
      <c r="G109" s="35">
        <v>0.62</v>
      </c>
      <c r="H109" s="59" t="s">
        <v>102</v>
      </c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24"/>
      <c r="Z109" s="24"/>
    </row>
    <row r="110" spans="1:26" ht="18" customHeight="1" x14ac:dyDescent="0.3">
      <c r="B110" s="46" t="s">
        <v>234</v>
      </c>
      <c r="C110" s="47" t="s">
        <v>191</v>
      </c>
      <c r="D110" s="48" t="s">
        <v>86</v>
      </c>
      <c r="E110" s="49"/>
      <c r="F110" s="50">
        <f>$F$109</f>
        <v>1.18</v>
      </c>
      <c r="G110" s="50">
        <f>$G$109</f>
        <v>0.62</v>
      </c>
      <c r="H110" s="51"/>
      <c r="I110" s="52">
        <f>IFERROR(F110*G110*IF(E110&lt;&gt;"",E110,1),"")</f>
        <v>0.73159999999999992</v>
      </c>
      <c r="J110" s="49"/>
      <c r="K110" s="49"/>
      <c r="L110" s="49"/>
      <c r="M110" s="49"/>
      <c r="N110" s="49"/>
      <c r="O110" s="53">
        <f>I110</f>
        <v>0.73159999999999992</v>
      </c>
      <c r="P110" s="49"/>
      <c r="Q110" s="49"/>
      <c r="R110" s="49"/>
      <c r="S110" s="49"/>
      <c r="T110" s="49"/>
      <c r="U110" s="49"/>
      <c r="V110" s="54"/>
      <c r="W110" s="54"/>
      <c r="X110" s="55"/>
      <c r="Y110" s="24"/>
      <c r="Z110" s="24"/>
    </row>
    <row r="111" spans="1:26" ht="28.05" customHeight="1" x14ac:dyDescent="0.3">
      <c r="A111" s="33"/>
      <c r="B111" s="33"/>
      <c r="C111" s="34" t="s">
        <v>129</v>
      </c>
      <c r="D111" s="33"/>
      <c r="E111" s="33"/>
      <c r="F111" s="59" t="s">
        <v>102</v>
      </c>
      <c r="G111" s="59" t="s">
        <v>102</v>
      </c>
      <c r="H111" s="59" t="s">
        <v>102</v>
      </c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24"/>
      <c r="Z111" s="24"/>
    </row>
    <row r="112" spans="1:26" ht="18" customHeight="1" x14ac:dyDescent="0.3">
      <c r="B112" s="36" t="s">
        <v>235</v>
      </c>
      <c r="C112" s="37" t="s">
        <v>131</v>
      </c>
      <c r="D112" s="38" t="s">
        <v>132</v>
      </c>
      <c r="E112" s="39"/>
      <c r="F112" s="41"/>
      <c r="G112" s="41"/>
      <c r="H112" s="41"/>
      <c r="I112" s="42">
        <f>IF(E112&lt;&gt;"",E112,0)</f>
        <v>0</v>
      </c>
      <c r="J112" s="39"/>
      <c r="K112" s="39"/>
      <c r="L112" s="39"/>
      <c r="M112" s="39"/>
      <c r="N112" s="39"/>
      <c r="O112" s="39"/>
      <c r="P112" s="39"/>
      <c r="Q112" s="39"/>
      <c r="R112" s="43">
        <f>I112</f>
        <v>0</v>
      </c>
      <c r="S112" s="39"/>
      <c r="T112" s="39"/>
      <c r="U112" s="39"/>
      <c r="V112" s="44"/>
      <c r="W112" s="44"/>
      <c r="X112" s="45"/>
      <c r="Y112" s="24"/>
      <c r="Z112" s="24"/>
    </row>
    <row r="113" spans="1:26" ht="18" customHeight="1" x14ac:dyDescent="0.3">
      <c r="B113" s="46" t="s">
        <v>236</v>
      </c>
      <c r="C113" s="47" t="s">
        <v>194</v>
      </c>
      <c r="D113" s="48" t="s">
        <v>195</v>
      </c>
      <c r="E113" s="49"/>
      <c r="F113" s="51"/>
      <c r="G113" s="51"/>
      <c r="H113" s="51"/>
      <c r="I113" s="52">
        <f>IF(E113&lt;&gt;"",E113,0)</f>
        <v>0</v>
      </c>
      <c r="J113" s="49"/>
      <c r="K113" s="49"/>
      <c r="L113" s="49"/>
      <c r="M113" s="49"/>
      <c r="N113" s="49"/>
      <c r="O113" s="49"/>
      <c r="P113" s="49"/>
      <c r="Q113" s="49"/>
      <c r="R113" s="49"/>
      <c r="S113" s="53">
        <f>I113</f>
        <v>0</v>
      </c>
      <c r="T113" s="49"/>
      <c r="U113" s="49"/>
      <c r="V113" s="54"/>
      <c r="W113" s="54"/>
      <c r="X113" s="55"/>
      <c r="Y113" s="24"/>
      <c r="Z113" s="24"/>
    </row>
    <row r="114" spans="1:26" ht="18" customHeight="1" x14ac:dyDescent="0.3">
      <c r="B114" s="36" t="s">
        <v>237</v>
      </c>
      <c r="C114" s="37" t="s">
        <v>238</v>
      </c>
      <c r="D114" s="38" t="s">
        <v>132</v>
      </c>
      <c r="E114" s="39"/>
      <c r="F114" s="41"/>
      <c r="G114" s="41"/>
      <c r="H114" s="41"/>
      <c r="I114" s="42">
        <f>IF(E114&lt;&gt;"",E114,0)</f>
        <v>0</v>
      </c>
      <c r="J114" s="39"/>
      <c r="K114" s="39"/>
      <c r="L114" s="39"/>
      <c r="M114" s="39"/>
      <c r="N114" s="39"/>
      <c r="O114" s="39"/>
      <c r="P114" s="39"/>
      <c r="Q114" s="39"/>
      <c r="R114" s="43">
        <f>I114</f>
        <v>0</v>
      </c>
      <c r="S114" s="39"/>
      <c r="T114" s="39"/>
      <c r="U114" s="39"/>
      <c r="V114" s="44"/>
      <c r="W114" s="44"/>
      <c r="X114" s="45"/>
      <c r="Y114" s="24"/>
      <c r="Z114" s="24"/>
    </row>
    <row r="115" spans="1:26" ht="18" customHeight="1" x14ac:dyDescent="0.3">
      <c r="B115" s="46" t="s">
        <v>239</v>
      </c>
      <c r="C115" s="47" t="s">
        <v>197</v>
      </c>
      <c r="D115" s="48" t="s">
        <v>99</v>
      </c>
      <c r="E115" s="49"/>
      <c r="F115" s="51"/>
      <c r="G115" s="51"/>
      <c r="H115" s="51"/>
      <c r="I115" s="52">
        <f>IF(E115&lt;&gt;"",E115,0)</f>
        <v>0</v>
      </c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54"/>
      <c r="W115" s="54"/>
      <c r="X115" s="55" t="s">
        <v>240</v>
      </c>
      <c r="Y115" s="24"/>
      <c r="Z115" s="24"/>
    </row>
    <row r="116" spans="1:26" ht="19.95" customHeight="1" x14ac:dyDescent="0.3">
      <c r="I116" s="60" t="s">
        <v>134</v>
      </c>
      <c r="J116" s="61">
        <f t="shared" ref="J116:U116" si="3">SUM(J86:J115)</f>
        <v>0.59</v>
      </c>
      <c r="K116" s="61">
        <f t="shared" si="3"/>
        <v>0.89679999999999993</v>
      </c>
      <c r="L116" s="61">
        <f t="shared" si="3"/>
        <v>1.298</v>
      </c>
      <c r="M116" s="61">
        <f t="shared" si="3"/>
        <v>4.4041000000000006</v>
      </c>
      <c r="N116" s="61">
        <f t="shared" si="3"/>
        <v>0.89679999999999993</v>
      </c>
      <c r="O116" s="61">
        <f t="shared" si="3"/>
        <v>0.73159999999999992</v>
      </c>
      <c r="P116" s="61">
        <f t="shared" si="3"/>
        <v>0</v>
      </c>
      <c r="Q116" s="61">
        <f t="shared" si="3"/>
        <v>0</v>
      </c>
      <c r="R116" s="61">
        <f t="shared" si="3"/>
        <v>0</v>
      </c>
      <c r="S116" s="61">
        <f t="shared" si="3"/>
        <v>0</v>
      </c>
      <c r="T116" s="61">
        <f t="shared" si="3"/>
        <v>0</v>
      </c>
      <c r="U116" s="61">
        <f t="shared" si="3"/>
        <v>0</v>
      </c>
      <c r="Y116" s="24"/>
      <c r="Z116" s="24"/>
    </row>
    <row r="117" spans="1:26" ht="22.05" customHeight="1" x14ac:dyDescent="0.3">
      <c r="H117" s="62">
        <f>H2</f>
        <v>58</v>
      </c>
      <c r="I117" s="63" t="s">
        <v>135</v>
      </c>
      <c r="J117" s="64">
        <f>J116*H2/2.88</f>
        <v>11.881944444444445</v>
      </c>
      <c r="K117" s="64">
        <f>K116*H2/2.88</f>
        <v>18.060555555555556</v>
      </c>
      <c r="L117" s="64">
        <f>L116*H2/2.88</f>
        <v>26.140277777777779</v>
      </c>
      <c r="M117" s="64">
        <f>M116*H2/2.88</f>
        <v>88.693680555555574</v>
      </c>
      <c r="N117" s="64">
        <f>N116*H2/2.88</f>
        <v>18.060555555555556</v>
      </c>
      <c r="O117" s="64">
        <f>O116*H2/2.88</f>
        <v>14.733611111111109</v>
      </c>
      <c r="P117" s="64">
        <f>P116*H2/2.88</f>
        <v>0</v>
      </c>
      <c r="Q117" s="64">
        <f>Q116*H2/2.88</f>
        <v>0</v>
      </c>
      <c r="R117" s="64">
        <f>R116*H2</f>
        <v>0</v>
      </c>
      <c r="S117" s="64">
        <f>S116*H2</f>
        <v>0</v>
      </c>
      <c r="T117" s="64">
        <f>T116*H2/2.88</f>
        <v>0</v>
      </c>
      <c r="U117" s="64">
        <f>U116*H2/2.88</f>
        <v>0</v>
      </c>
      <c r="Y117" s="24"/>
      <c r="Z117" s="24"/>
    </row>
    <row r="118" spans="1:26" ht="10.050000000000001" customHeight="1" x14ac:dyDescent="0.3">
      <c r="Y118" s="24"/>
      <c r="Z118" s="24"/>
    </row>
    <row r="119" spans="1:26" ht="31.95" customHeight="1" x14ac:dyDescent="0.3">
      <c r="A119" s="27"/>
      <c r="B119" s="28" t="s">
        <v>241</v>
      </c>
      <c r="C119" s="29" t="s">
        <v>61</v>
      </c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30" t="s">
        <v>242</v>
      </c>
      <c r="Y119" s="24"/>
      <c r="Z119" s="24"/>
    </row>
    <row r="120" spans="1:26" ht="60" customHeight="1" x14ac:dyDescent="0.3">
      <c r="A120" s="31"/>
      <c r="B120" s="31" t="s">
        <v>63</v>
      </c>
      <c r="C120" s="31" t="s">
        <v>30</v>
      </c>
      <c r="D120" s="31" t="s">
        <v>64</v>
      </c>
      <c r="E120" s="31" t="s">
        <v>65</v>
      </c>
      <c r="F120" s="31" t="s">
        <v>66</v>
      </c>
      <c r="G120" s="31" t="s">
        <v>67</v>
      </c>
      <c r="H120" s="31" t="s">
        <v>68</v>
      </c>
      <c r="I120" s="31" t="s">
        <v>69</v>
      </c>
      <c r="J120" s="31" t="s">
        <v>70</v>
      </c>
      <c r="K120" s="31" t="s">
        <v>71</v>
      </c>
      <c r="L120" s="31" t="s">
        <v>72</v>
      </c>
      <c r="M120" s="31" t="s">
        <v>73</v>
      </c>
      <c r="N120" s="31" t="s">
        <v>74</v>
      </c>
      <c r="O120" s="31" t="s">
        <v>75</v>
      </c>
      <c r="P120" s="31" t="s">
        <v>76</v>
      </c>
      <c r="Q120" s="31" t="s">
        <v>77</v>
      </c>
      <c r="R120" s="31" t="s">
        <v>78</v>
      </c>
      <c r="S120" s="31" t="s">
        <v>79</v>
      </c>
      <c r="T120" s="31" t="s">
        <v>80</v>
      </c>
      <c r="U120" s="31" t="s">
        <v>81</v>
      </c>
      <c r="V120" s="32"/>
      <c r="W120" s="32"/>
      <c r="X120" s="31" t="s">
        <v>82</v>
      </c>
      <c r="Y120" s="24"/>
      <c r="Z120" s="24"/>
    </row>
    <row r="121" spans="1:26" ht="28.05" customHeight="1" x14ac:dyDescent="0.3">
      <c r="A121" s="33"/>
      <c r="B121" s="33"/>
      <c r="C121" s="34" t="s">
        <v>138</v>
      </c>
      <c r="D121" s="33"/>
      <c r="E121" s="33"/>
      <c r="F121" s="35">
        <v>1.1499999999999999</v>
      </c>
      <c r="G121" s="35">
        <v>0.56999999999999995</v>
      </c>
      <c r="H121" s="35">
        <v>0.8</v>
      </c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24"/>
      <c r="Z121" s="24"/>
    </row>
    <row r="122" spans="1:26" ht="18" customHeight="1" x14ac:dyDescent="0.3">
      <c r="B122" s="36" t="s">
        <v>243</v>
      </c>
      <c r="C122" s="37" t="s">
        <v>85</v>
      </c>
      <c r="D122" s="38" t="s">
        <v>86</v>
      </c>
      <c r="E122" s="39"/>
      <c r="F122" s="40">
        <f>$F$121</f>
        <v>1.1499999999999999</v>
      </c>
      <c r="G122" s="41"/>
      <c r="H122" s="40">
        <f>$H$121</f>
        <v>0.8</v>
      </c>
      <c r="I122" s="42">
        <f>IFERROR(F122*H122*IF(E122&lt;&gt;"",E122,1),"")</f>
        <v>0.91999999999999993</v>
      </c>
      <c r="J122" s="39"/>
      <c r="K122" s="43">
        <f>I122</f>
        <v>0.91999999999999993</v>
      </c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44"/>
      <c r="W122" s="44"/>
      <c r="X122" s="45"/>
      <c r="Y122" s="24"/>
      <c r="Z122" s="24"/>
    </row>
    <row r="123" spans="1:26" ht="18" customHeight="1" x14ac:dyDescent="0.3">
      <c r="B123" s="46" t="s">
        <v>244</v>
      </c>
      <c r="C123" s="47" t="s">
        <v>88</v>
      </c>
      <c r="D123" s="48" t="s">
        <v>86</v>
      </c>
      <c r="E123" s="49"/>
      <c r="F123" s="50">
        <f>$F$121</f>
        <v>1.1499999999999999</v>
      </c>
      <c r="G123" s="50">
        <f>$G$121</f>
        <v>0.56999999999999995</v>
      </c>
      <c r="H123" s="51"/>
      <c r="I123" s="52">
        <f>IFERROR(F123*G123*IF(E123&lt;&gt;"",E123,1),"")</f>
        <v>0.65549999999999986</v>
      </c>
      <c r="J123" s="49"/>
      <c r="K123" s="49"/>
      <c r="L123" s="49"/>
      <c r="M123" s="53">
        <f>I123</f>
        <v>0.65549999999999986</v>
      </c>
      <c r="N123" s="49"/>
      <c r="O123" s="49"/>
      <c r="P123" s="49"/>
      <c r="Q123" s="49"/>
      <c r="R123" s="49"/>
      <c r="S123" s="49"/>
      <c r="T123" s="49"/>
      <c r="U123" s="49"/>
      <c r="V123" s="54"/>
      <c r="W123" s="54"/>
      <c r="X123" s="55"/>
      <c r="Y123" s="24"/>
      <c r="Z123" s="24"/>
    </row>
    <row r="124" spans="1:26" ht="18" customHeight="1" x14ac:dyDescent="0.3">
      <c r="B124" s="36" t="s">
        <v>245</v>
      </c>
      <c r="C124" s="37" t="s">
        <v>90</v>
      </c>
      <c r="D124" s="38" t="s">
        <v>86</v>
      </c>
      <c r="E124" s="39"/>
      <c r="F124" s="40">
        <f>$F$121</f>
        <v>1.1499999999999999</v>
      </c>
      <c r="G124" s="40">
        <f>$G$121</f>
        <v>0.56999999999999995</v>
      </c>
      <c r="H124" s="41"/>
      <c r="I124" s="42">
        <f>IFERROR(F124*G124*IF(E124&lt;&gt;"",E124,1),"")</f>
        <v>0.65549999999999986</v>
      </c>
      <c r="J124" s="39"/>
      <c r="K124" s="39"/>
      <c r="L124" s="39"/>
      <c r="M124" s="43">
        <f>I124</f>
        <v>0.65549999999999986</v>
      </c>
      <c r="N124" s="39"/>
      <c r="O124" s="39"/>
      <c r="P124" s="39"/>
      <c r="Q124" s="39"/>
      <c r="R124" s="39"/>
      <c r="S124" s="39"/>
      <c r="T124" s="39"/>
      <c r="U124" s="39"/>
      <c r="V124" s="44"/>
      <c r="W124" s="44"/>
      <c r="X124" s="45" t="s">
        <v>246</v>
      </c>
      <c r="Y124" s="24"/>
      <c r="Z124" s="24"/>
    </row>
    <row r="125" spans="1:26" ht="18" customHeight="1" x14ac:dyDescent="0.3">
      <c r="B125" s="46" t="s">
        <v>247</v>
      </c>
      <c r="C125" s="47" t="s">
        <v>92</v>
      </c>
      <c r="D125" s="48" t="s">
        <v>86</v>
      </c>
      <c r="E125" s="56">
        <v>2</v>
      </c>
      <c r="F125" s="51"/>
      <c r="G125" s="50">
        <f>$G$121</f>
        <v>0.56999999999999995</v>
      </c>
      <c r="H125" s="50">
        <f>$H$121</f>
        <v>0.8</v>
      </c>
      <c r="I125" s="52">
        <f>IFERROR(G125*H125*IF(E125&lt;&gt;"",E125,1),"")</f>
        <v>0.91199999999999992</v>
      </c>
      <c r="J125" s="49"/>
      <c r="K125" s="49"/>
      <c r="L125" s="49"/>
      <c r="M125" s="53">
        <f>I125</f>
        <v>0.91199999999999992</v>
      </c>
      <c r="N125" s="49"/>
      <c r="O125" s="49"/>
      <c r="P125" s="49"/>
      <c r="Q125" s="49"/>
      <c r="R125" s="49"/>
      <c r="S125" s="49"/>
      <c r="T125" s="49"/>
      <c r="U125" s="49"/>
      <c r="V125" s="54"/>
      <c r="W125" s="54"/>
      <c r="X125" s="55"/>
      <c r="Y125" s="24"/>
      <c r="Z125" s="24"/>
    </row>
    <row r="126" spans="1:26" ht="18" customHeight="1" x14ac:dyDescent="0.3">
      <c r="B126" s="36" t="s">
        <v>248</v>
      </c>
      <c r="C126" s="37" t="s">
        <v>249</v>
      </c>
      <c r="D126" s="38" t="s">
        <v>86</v>
      </c>
      <c r="E126" s="39"/>
      <c r="F126" s="41"/>
      <c r="G126" s="40">
        <f>$G$121</f>
        <v>0.56999999999999995</v>
      </c>
      <c r="H126" s="40">
        <f>$H$121</f>
        <v>0.8</v>
      </c>
      <c r="I126" s="42">
        <f>IFERROR(G126*H126*IF(E126&lt;&gt;"",E126,1),"")</f>
        <v>0.45599999999999996</v>
      </c>
      <c r="J126" s="39"/>
      <c r="K126" s="39"/>
      <c r="L126" s="39"/>
      <c r="M126" s="43">
        <f>I126</f>
        <v>0.45599999999999996</v>
      </c>
      <c r="N126" s="39"/>
      <c r="O126" s="39"/>
      <c r="P126" s="39"/>
      <c r="Q126" s="39"/>
      <c r="R126" s="39"/>
      <c r="S126" s="39"/>
      <c r="T126" s="39"/>
      <c r="U126" s="39"/>
      <c r="V126" s="44"/>
      <c r="W126" s="44"/>
      <c r="X126" s="45"/>
      <c r="Y126" s="24"/>
      <c r="Z126" s="24"/>
    </row>
    <row r="127" spans="1:26" ht="18" customHeight="1" x14ac:dyDescent="0.3">
      <c r="B127" s="46" t="s">
        <v>250</v>
      </c>
      <c r="C127" s="47" t="s">
        <v>168</v>
      </c>
      <c r="D127" s="48" t="s">
        <v>86</v>
      </c>
      <c r="E127" s="49"/>
      <c r="F127" s="50">
        <f>$F$121</f>
        <v>1.1499999999999999</v>
      </c>
      <c r="G127" s="50">
        <f>$G$121</f>
        <v>0.56999999999999995</v>
      </c>
      <c r="H127" s="51"/>
      <c r="I127" s="52">
        <f>IFERROR(F127*G127*IF(E127&lt;&gt;"",E127,1),"")</f>
        <v>0.65549999999999986</v>
      </c>
      <c r="J127" s="49"/>
      <c r="K127" s="49"/>
      <c r="L127" s="49"/>
      <c r="M127" s="53">
        <f>I127</f>
        <v>0.65549999999999986</v>
      </c>
      <c r="N127" s="49"/>
      <c r="O127" s="49"/>
      <c r="P127" s="49"/>
      <c r="Q127" s="49"/>
      <c r="R127" s="49"/>
      <c r="S127" s="49"/>
      <c r="T127" s="49"/>
      <c r="U127" s="49"/>
      <c r="V127" s="54"/>
      <c r="W127" s="54"/>
      <c r="X127" s="55"/>
      <c r="Y127" s="24"/>
      <c r="Z127" s="24"/>
    </row>
    <row r="128" spans="1:26" ht="18" customHeight="1" x14ac:dyDescent="0.3">
      <c r="B128" s="36" t="s">
        <v>251</v>
      </c>
      <c r="C128" s="37" t="s">
        <v>98</v>
      </c>
      <c r="D128" s="38" t="s">
        <v>99</v>
      </c>
      <c r="E128" s="39"/>
      <c r="F128" s="41"/>
      <c r="G128" s="41"/>
      <c r="H128" s="41"/>
      <c r="I128" s="42">
        <f>IF(E128&lt;&gt;"",E128,0)</f>
        <v>0</v>
      </c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44"/>
      <c r="W128" s="44"/>
      <c r="X128" s="45" t="s">
        <v>252</v>
      </c>
      <c r="Y128" s="24"/>
      <c r="Z128" s="24"/>
    </row>
    <row r="129" spans="1:26" ht="28.05" customHeight="1" x14ac:dyDescent="0.3">
      <c r="A129" s="33"/>
      <c r="B129" s="33"/>
      <c r="C129" s="34" t="s">
        <v>147</v>
      </c>
      <c r="D129" s="33"/>
      <c r="E129" s="33"/>
      <c r="F129" s="35">
        <v>1.1499999999999999</v>
      </c>
      <c r="G129" s="59" t="s">
        <v>102</v>
      </c>
      <c r="H129" s="35">
        <v>0.8</v>
      </c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24"/>
      <c r="Z129" s="24"/>
    </row>
    <row r="130" spans="1:26" ht="18" customHeight="1" x14ac:dyDescent="0.3">
      <c r="B130" s="46" t="s">
        <v>253</v>
      </c>
      <c r="C130" s="47" t="s">
        <v>104</v>
      </c>
      <c r="D130" s="48" t="s">
        <v>86</v>
      </c>
      <c r="E130" s="49"/>
      <c r="F130" s="50">
        <f>$F$129</f>
        <v>1.1499999999999999</v>
      </c>
      <c r="G130" s="51"/>
      <c r="H130" s="50">
        <f>$H$129</f>
        <v>0.8</v>
      </c>
      <c r="I130" s="52">
        <f>IFERROR(F130*H130*IF(E130&lt;&gt;"",E130,1),"")</f>
        <v>0.91999999999999993</v>
      </c>
      <c r="J130" s="49"/>
      <c r="K130" s="49"/>
      <c r="L130" s="49"/>
      <c r="M130" s="49"/>
      <c r="N130" s="53">
        <f>I130</f>
        <v>0.91999999999999993</v>
      </c>
      <c r="O130" s="49"/>
      <c r="P130" s="49"/>
      <c r="Q130" s="49"/>
      <c r="R130" s="49"/>
      <c r="S130" s="49"/>
      <c r="T130" s="49"/>
      <c r="U130" s="49"/>
      <c r="V130" s="54"/>
      <c r="W130" s="54"/>
      <c r="X130" s="55" t="s">
        <v>254</v>
      </c>
      <c r="Y130" s="24"/>
      <c r="Z130" s="24"/>
    </row>
    <row r="131" spans="1:26" ht="18" customHeight="1" x14ac:dyDescent="0.3">
      <c r="B131" s="36" t="s">
        <v>255</v>
      </c>
      <c r="C131" s="37" t="s">
        <v>107</v>
      </c>
      <c r="D131" s="38" t="s">
        <v>99</v>
      </c>
      <c r="E131" s="39"/>
      <c r="F131" s="41"/>
      <c r="G131" s="41"/>
      <c r="H131" s="41"/>
      <c r="I131" s="42">
        <f>IF(E131&lt;&gt;"",E131,0)</f>
        <v>0</v>
      </c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44"/>
      <c r="W131" s="44"/>
      <c r="X131" s="45" t="s">
        <v>256</v>
      </c>
      <c r="Y131" s="24"/>
      <c r="Z131" s="24"/>
    </row>
    <row r="132" spans="1:26" ht="28.05" customHeight="1" x14ac:dyDescent="0.3">
      <c r="A132" s="33"/>
      <c r="B132" s="33"/>
      <c r="C132" s="34" t="s">
        <v>189</v>
      </c>
      <c r="D132" s="33"/>
      <c r="E132" s="33"/>
      <c r="F132" s="35">
        <v>1.1499999999999999</v>
      </c>
      <c r="G132" s="35">
        <v>0.56999999999999995</v>
      </c>
      <c r="H132" s="59" t="s">
        <v>102</v>
      </c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24"/>
      <c r="Z132" s="24"/>
    </row>
    <row r="133" spans="1:26" ht="18" customHeight="1" x14ac:dyDescent="0.3">
      <c r="B133" s="46" t="s">
        <v>257</v>
      </c>
      <c r="C133" s="47" t="s">
        <v>191</v>
      </c>
      <c r="D133" s="48" t="s">
        <v>86</v>
      </c>
      <c r="E133" s="49"/>
      <c r="F133" s="50">
        <f>$F$132</f>
        <v>1.1499999999999999</v>
      </c>
      <c r="G133" s="50">
        <f>$G$132</f>
        <v>0.56999999999999995</v>
      </c>
      <c r="H133" s="51"/>
      <c r="I133" s="52">
        <f>IFERROR(F133*G133*IF(E133&lt;&gt;"",E133,1),"")</f>
        <v>0.65549999999999986</v>
      </c>
      <c r="J133" s="49"/>
      <c r="K133" s="49"/>
      <c r="L133" s="49"/>
      <c r="M133" s="49"/>
      <c r="N133" s="49"/>
      <c r="O133" s="53">
        <f>I133</f>
        <v>0.65549999999999986</v>
      </c>
      <c r="P133" s="49"/>
      <c r="Q133" s="49"/>
      <c r="R133" s="49"/>
      <c r="S133" s="49"/>
      <c r="T133" s="49"/>
      <c r="U133" s="49"/>
      <c r="V133" s="54"/>
      <c r="W133" s="54"/>
      <c r="X133" s="55"/>
      <c r="Y133" s="24"/>
      <c r="Z133" s="24"/>
    </row>
    <row r="134" spans="1:26" ht="28.05" customHeight="1" x14ac:dyDescent="0.3">
      <c r="A134" s="33"/>
      <c r="B134" s="33"/>
      <c r="C134" s="34" t="s">
        <v>258</v>
      </c>
      <c r="D134" s="33"/>
      <c r="E134" s="33"/>
      <c r="F134" s="35">
        <v>1.05</v>
      </c>
      <c r="G134" s="59" t="s">
        <v>102</v>
      </c>
      <c r="H134" s="35">
        <v>0.95</v>
      </c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24"/>
      <c r="Z134" s="24"/>
    </row>
    <row r="135" spans="1:26" ht="18" customHeight="1" x14ac:dyDescent="0.3">
      <c r="B135" s="36" t="s">
        <v>259</v>
      </c>
      <c r="C135" s="37" t="s">
        <v>260</v>
      </c>
      <c r="D135" s="38" t="s">
        <v>86</v>
      </c>
      <c r="E135" s="39"/>
      <c r="F135" s="40">
        <f>$F$134</f>
        <v>1.05</v>
      </c>
      <c r="G135" s="41"/>
      <c r="H135" s="40">
        <f>$H$134</f>
        <v>0.95</v>
      </c>
      <c r="I135" s="42">
        <f>IFERROR(F135*H135*IF(E135&lt;&gt;"",E135,1),"")</f>
        <v>0.99749999999999994</v>
      </c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44"/>
      <c r="W135" s="44"/>
      <c r="X135" s="45" t="s">
        <v>261</v>
      </c>
      <c r="Y135" s="24"/>
      <c r="Z135" s="24"/>
    </row>
    <row r="136" spans="1:26" ht="18" customHeight="1" x14ac:dyDescent="0.3">
      <c r="B136" s="46" t="s">
        <v>262</v>
      </c>
      <c r="C136" s="47" t="s">
        <v>263</v>
      </c>
      <c r="D136" s="48" t="s">
        <v>264</v>
      </c>
      <c r="E136" s="49"/>
      <c r="F136" s="50">
        <f>$F$134</f>
        <v>1.05</v>
      </c>
      <c r="G136" s="51"/>
      <c r="H136" s="50">
        <f>$H$134</f>
        <v>0.95</v>
      </c>
      <c r="I136" s="52" t="s">
        <v>265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54"/>
      <c r="W136" s="54"/>
      <c r="X136" s="55" t="s">
        <v>266</v>
      </c>
      <c r="Y136" s="24"/>
      <c r="Z136" s="24"/>
    </row>
    <row r="137" spans="1:26" ht="28.05" customHeight="1" x14ac:dyDescent="0.3">
      <c r="A137" s="33"/>
      <c r="B137" s="33"/>
      <c r="C137" s="34" t="s">
        <v>129</v>
      </c>
      <c r="D137" s="33"/>
      <c r="E137" s="33"/>
      <c r="F137" s="59" t="s">
        <v>102</v>
      </c>
      <c r="G137" s="59" t="s">
        <v>102</v>
      </c>
      <c r="H137" s="59" t="s">
        <v>102</v>
      </c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24"/>
      <c r="Z137" s="24"/>
    </row>
    <row r="138" spans="1:26" ht="18" customHeight="1" x14ac:dyDescent="0.3">
      <c r="B138" s="36" t="s">
        <v>267</v>
      </c>
      <c r="C138" s="37" t="s">
        <v>131</v>
      </c>
      <c r="D138" s="38" t="s">
        <v>132</v>
      </c>
      <c r="E138" s="39"/>
      <c r="F138" s="41"/>
      <c r="G138" s="41"/>
      <c r="H138" s="41"/>
      <c r="I138" s="42">
        <f>IF(E138&lt;&gt;"",E138,0)</f>
        <v>0</v>
      </c>
      <c r="J138" s="39"/>
      <c r="K138" s="39"/>
      <c r="L138" s="39"/>
      <c r="M138" s="39"/>
      <c r="N138" s="39"/>
      <c r="O138" s="39"/>
      <c r="P138" s="39"/>
      <c r="Q138" s="39"/>
      <c r="R138" s="43">
        <f>I138</f>
        <v>0</v>
      </c>
      <c r="S138" s="39"/>
      <c r="T138" s="39"/>
      <c r="U138" s="39"/>
      <c r="V138" s="44"/>
      <c r="W138" s="44"/>
      <c r="X138" s="45"/>
      <c r="Y138" s="24"/>
      <c r="Z138" s="24"/>
    </row>
    <row r="139" spans="1:26" ht="18" customHeight="1" x14ac:dyDescent="0.3">
      <c r="B139" s="46" t="s">
        <v>268</v>
      </c>
      <c r="C139" s="47" t="s">
        <v>269</v>
      </c>
      <c r="D139" s="48" t="s">
        <v>195</v>
      </c>
      <c r="E139" s="49"/>
      <c r="F139" s="51"/>
      <c r="G139" s="51"/>
      <c r="H139" s="51"/>
      <c r="I139" s="52">
        <f>IF(E139&lt;&gt;"",E139,0)</f>
        <v>0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53">
        <f>I139</f>
        <v>0</v>
      </c>
      <c r="T139" s="49"/>
      <c r="U139" s="49"/>
      <c r="V139" s="54"/>
      <c r="W139" s="54"/>
      <c r="X139" s="55" t="s">
        <v>270</v>
      </c>
      <c r="Y139" s="24"/>
      <c r="Z139" s="24"/>
    </row>
    <row r="140" spans="1:26" ht="18" customHeight="1" x14ac:dyDescent="0.3">
      <c r="B140" s="36" t="s">
        <v>271</v>
      </c>
      <c r="C140" s="37" t="s">
        <v>272</v>
      </c>
      <c r="D140" s="38" t="s">
        <v>99</v>
      </c>
      <c r="E140" s="39"/>
      <c r="F140" s="41"/>
      <c r="G140" s="41"/>
      <c r="H140" s="41"/>
      <c r="I140" s="42">
        <f>IF(E140&lt;&gt;"",E140,0)</f>
        <v>0</v>
      </c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44"/>
      <c r="W140" s="44"/>
      <c r="X140" s="45" t="s">
        <v>273</v>
      </c>
      <c r="Y140" s="24"/>
      <c r="Z140" s="24"/>
    </row>
    <row r="141" spans="1:26" ht="19.95" customHeight="1" x14ac:dyDescent="0.3">
      <c r="I141" s="60" t="s">
        <v>134</v>
      </c>
      <c r="J141" s="61">
        <f t="shared" ref="J141:U141" si="4">SUM(J121:J140)</f>
        <v>0</v>
      </c>
      <c r="K141" s="61">
        <f t="shared" si="4"/>
        <v>0.91999999999999993</v>
      </c>
      <c r="L141" s="61">
        <f t="shared" si="4"/>
        <v>0</v>
      </c>
      <c r="M141" s="61">
        <f t="shared" si="4"/>
        <v>3.3344999999999998</v>
      </c>
      <c r="N141" s="61">
        <f t="shared" si="4"/>
        <v>0.91999999999999993</v>
      </c>
      <c r="O141" s="61">
        <f t="shared" si="4"/>
        <v>0.65549999999999986</v>
      </c>
      <c r="P141" s="61">
        <f t="shared" si="4"/>
        <v>0</v>
      </c>
      <c r="Q141" s="61">
        <f t="shared" si="4"/>
        <v>0</v>
      </c>
      <c r="R141" s="61">
        <f t="shared" si="4"/>
        <v>0</v>
      </c>
      <c r="S141" s="61">
        <f t="shared" si="4"/>
        <v>0</v>
      </c>
      <c r="T141" s="61">
        <f t="shared" si="4"/>
        <v>0</v>
      </c>
      <c r="U141" s="61">
        <f t="shared" si="4"/>
        <v>0</v>
      </c>
      <c r="Y141" s="24"/>
      <c r="Z141" s="24"/>
    </row>
    <row r="142" spans="1:26" ht="22.05" customHeight="1" x14ac:dyDescent="0.3">
      <c r="H142" s="62">
        <f>H2</f>
        <v>58</v>
      </c>
      <c r="I142" s="63" t="s">
        <v>135</v>
      </c>
      <c r="J142" s="64">
        <f>J141*H2/2.88</f>
        <v>0</v>
      </c>
      <c r="K142" s="64">
        <f>K141*H2/2.88</f>
        <v>18.527777777777779</v>
      </c>
      <c r="L142" s="64">
        <f>L141*H2/2.88</f>
        <v>0</v>
      </c>
      <c r="M142" s="64">
        <f>M141*H2/2.88</f>
        <v>67.153125000000003</v>
      </c>
      <c r="N142" s="64">
        <f>N141*H2/2.88</f>
        <v>18.527777777777779</v>
      </c>
      <c r="O142" s="64">
        <f>O141*H2/2.88</f>
        <v>13.201041666666663</v>
      </c>
      <c r="P142" s="64">
        <f>P141*H2/2.88</f>
        <v>0</v>
      </c>
      <c r="Q142" s="64">
        <f>Q141*H2/2.88</f>
        <v>0</v>
      </c>
      <c r="R142" s="64">
        <f>R141*H2</f>
        <v>0</v>
      </c>
      <c r="S142" s="64">
        <f>S141*H2</f>
        <v>0</v>
      </c>
      <c r="T142" s="64">
        <f>T141*H2/2.88</f>
        <v>0</v>
      </c>
      <c r="U142" s="64">
        <f>U141*H2/2.88</f>
        <v>0</v>
      </c>
      <c r="Y142" s="24"/>
      <c r="Z142" s="24"/>
    </row>
    <row r="143" spans="1:26" ht="10.050000000000001" customHeight="1" x14ac:dyDescent="0.3">
      <c r="Y143" s="24"/>
      <c r="Z143" s="24"/>
    </row>
    <row r="144" spans="1:26" ht="31.95" customHeight="1" x14ac:dyDescent="0.3">
      <c r="A144" s="27"/>
      <c r="B144" s="28" t="s">
        <v>274</v>
      </c>
      <c r="C144" s="29" t="s">
        <v>275</v>
      </c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4"/>
      <c r="Z144" s="24"/>
    </row>
    <row r="145" spans="1:26" ht="48" customHeight="1" x14ac:dyDescent="0.3">
      <c r="A145" s="13"/>
      <c r="B145" s="65" t="s">
        <v>63</v>
      </c>
      <c r="C145" s="66" t="s">
        <v>30</v>
      </c>
      <c r="D145" s="65" t="s">
        <v>64</v>
      </c>
      <c r="E145" s="67" t="s">
        <v>276</v>
      </c>
      <c r="F145" s="68"/>
      <c r="G145" s="68"/>
      <c r="H145" s="68"/>
      <c r="I145" s="67" t="s">
        <v>277</v>
      </c>
      <c r="J145" s="126" t="s">
        <v>278</v>
      </c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69" t="s">
        <v>82</v>
      </c>
      <c r="Y145" s="24"/>
      <c r="Z145" s="24"/>
    </row>
    <row r="146" spans="1:26" ht="22.05" customHeight="1" x14ac:dyDescent="0.3">
      <c r="A146" s="70"/>
      <c r="B146" s="71" t="s">
        <v>279</v>
      </c>
      <c r="C146" s="72" t="s">
        <v>280</v>
      </c>
      <c r="D146" s="73" t="s">
        <v>281</v>
      </c>
      <c r="E146" s="74">
        <v>1</v>
      </c>
      <c r="F146" s="132" t="s">
        <v>102</v>
      </c>
      <c r="G146" s="133"/>
      <c r="H146" s="134"/>
      <c r="I146" s="75">
        <f>E146*H2</f>
        <v>58</v>
      </c>
      <c r="J146" s="135" t="s">
        <v>102</v>
      </c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4"/>
      <c r="X146" s="76" t="s">
        <v>282</v>
      </c>
      <c r="Y146" s="24"/>
      <c r="Z146" s="24"/>
    </row>
    <row r="147" spans="1:26" ht="22.05" customHeight="1" x14ac:dyDescent="0.3">
      <c r="A147" s="70"/>
      <c r="B147" s="77" t="s">
        <v>283</v>
      </c>
      <c r="C147" s="78" t="s">
        <v>284</v>
      </c>
      <c r="D147" s="79" t="s">
        <v>281</v>
      </c>
      <c r="E147" s="80">
        <v>1</v>
      </c>
      <c r="F147" s="128" t="s">
        <v>102</v>
      </c>
      <c r="G147" s="129"/>
      <c r="H147" s="130"/>
      <c r="I147" s="81">
        <f>E147*H2</f>
        <v>58</v>
      </c>
      <c r="J147" s="131" t="s">
        <v>102</v>
      </c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30"/>
      <c r="X147" s="82" t="s">
        <v>285</v>
      </c>
      <c r="Y147" s="24"/>
      <c r="Z147" s="24"/>
    </row>
    <row r="148" spans="1:26" ht="22.05" customHeight="1" x14ac:dyDescent="0.3">
      <c r="A148" s="70"/>
      <c r="B148" s="71" t="s">
        <v>286</v>
      </c>
      <c r="C148" s="72" t="s">
        <v>287</v>
      </c>
      <c r="D148" s="73" t="s">
        <v>281</v>
      </c>
      <c r="E148" s="74">
        <v>1</v>
      </c>
      <c r="F148" s="132" t="s">
        <v>102</v>
      </c>
      <c r="G148" s="133"/>
      <c r="H148" s="134"/>
      <c r="I148" s="75">
        <f>E148*H2</f>
        <v>58</v>
      </c>
      <c r="J148" s="135" t="s">
        <v>102</v>
      </c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4"/>
      <c r="X148" s="76" t="s">
        <v>288</v>
      </c>
      <c r="Y148" s="24"/>
      <c r="Z148" s="24"/>
    </row>
    <row r="149" spans="1:26" ht="22.05" customHeight="1" x14ac:dyDescent="0.3">
      <c r="A149" s="70"/>
      <c r="B149" s="77" t="s">
        <v>289</v>
      </c>
      <c r="C149" s="78" t="s">
        <v>290</v>
      </c>
      <c r="D149" s="79" t="s">
        <v>281</v>
      </c>
      <c r="E149" s="80">
        <v>1</v>
      </c>
      <c r="F149" s="128" t="s">
        <v>102</v>
      </c>
      <c r="G149" s="129"/>
      <c r="H149" s="130"/>
      <c r="I149" s="81">
        <f>E149*H2</f>
        <v>58</v>
      </c>
      <c r="J149" s="131" t="s">
        <v>102</v>
      </c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30"/>
      <c r="X149" s="82" t="s">
        <v>291</v>
      </c>
      <c r="Y149" s="24"/>
      <c r="Z149" s="24"/>
    </row>
    <row r="150" spans="1:26" ht="22.05" customHeight="1" x14ac:dyDescent="0.3">
      <c r="A150" s="70"/>
      <c r="B150" s="71" t="s">
        <v>292</v>
      </c>
      <c r="C150" s="72" t="s">
        <v>293</v>
      </c>
      <c r="D150" s="73" t="s">
        <v>281</v>
      </c>
      <c r="E150" s="74">
        <v>1</v>
      </c>
      <c r="F150" s="132" t="s">
        <v>102</v>
      </c>
      <c r="G150" s="133"/>
      <c r="H150" s="134"/>
      <c r="I150" s="75">
        <f>E150*H2</f>
        <v>58</v>
      </c>
      <c r="J150" s="135" t="s">
        <v>102</v>
      </c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4"/>
      <c r="X150" s="76" t="s">
        <v>294</v>
      </c>
      <c r="Y150" s="24"/>
      <c r="Z150" s="24"/>
    </row>
    <row r="151" spans="1:26" ht="22.05" customHeight="1" x14ac:dyDescent="0.3">
      <c r="A151" s="70"/>
      <c r="B151" s="77" t="s">
        <v>295</v>
      </c>
      <c r="C151" s="78" t="s">
        <v>296</v>
      </c>
      <c r="D151" s="79" t="s">
        <v>281</v>
      </c>
      <c r="E151" s="80">
        <v>15</v>
      </c>
      <c r="F151" s="128" t="s">
        <v>102</v>
      </c>
      <c r="G151" s="129"/>
      <c r="H151" s="130"/>
      <c r="I151" s="81">
        <f>E151*H2</f>
        <v>870</v>
      </c>
      <c r="J151" s="131" t="s">
        <v>102</v>
      </c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30"/>
      <c r="X151" s="82" t="s">
        <v>297</v>
      </c>
      <c r="Y151" s="24"/>
      <c r="Z151" s="24"/>
    </row>
    <row r="152" spans="1:26" ht="10.050000000000001" customHeight="1" x14ac:dyDescent="0.3">
      <c r="Y152" s="24"/>
      <c r="Z152" s="24"/>
    </row>
    <row r="153" spans="1:26" x14ac:dyDescent="0.3">
      <c r="Y153" s="24"/>
      <c r="Z153" s="24"/>
    </row>
    <row r="154" spans="1:26" ht="10.050000000000001" customHeight="1" x14ac:dyDescent="0.3">
      <c r="Y154" s="24"/>
      <c r="Z154" s="24"/>
    </row>
    <row r="155" spans="1:26" ht="4.9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24"/>
      <c r="Z155" s="24"/>
    </row>
    <row r="156" spans="1:26" ht="25.95" customHeight="1" x14ac:dyDescent="0.3">
      <c r="A156" s="136" t="s">
        <v>298</v>
      </c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24"/>
      <c r="Z156" s="24"/>
    </row>
    <row r="157" spans="1:26" ht="28.05" customHeight="1" x14ac:dyDescent="0.3">
      <c r="I157" s="83" t="s">
        <v>69</v>
      </c>
      <c r="J157" s="84">
        <f t="shared" ref="J157:U157" si="5">J33+J54+J82+J117+J142</f>
        <v>17.319444444444443</v>
      </c>
      <c r="K157" s="84">
        <f t="shared" si="5"/>
        <v>155.19631944444444</v>
      </c>
      <c r="L157" s="84">
        <f t="shared" si="5"/>
        <v>32.230277777777779</v>
      </c>
      <c r="M157" s="84">
        <f t="shared" si="5"/>
        <v>685.08069444444459</v>
      </c>
      <c r="N157" s="84">
        <f t="shared" si="5"/>
        <v>155.19631944444444</v>
      </c>
      <c r="O157" s="84">
        <f t="shared" si="5"/>
        <v>46.331527777777772</v>
      </c>
      <c r="P157" s="84">
        <f t="shared" si="5"/>
        <v>54.375</v>
      </c>
      <c r="Q157" s="84">
        <f t="shared" si="5"/>
        <v>0</v>
      </c>
      <c r="R157" s="84">
        <f t="shared" si="5"/>
        <v>0</v>
      </c>
      <c r="S157" s="84">
        <f t="shared" si="5"/>
        <v>0</v>
      </c>
      <c r="T157" s="84">
        <f t="shared" si="5"/>
        <v>0</v>
      </c>
      <c r="U157" s="84">
        <f t="shared" si="5"/>
        <v>0</v>
      </c>
      <c r="Y157" s="24"/>
      <c r="Z157" s="24"/>
    </row>
    <row r="158" spans="1:26" ht="55.95" customHeight="1" x14ac:dyDescent="0.3">
      <c r="J158" s="85" t="s">
        <v>70</v>
      </c>
      <c r="K158" s="85" t="s">
        <v>71</v>
      </c>
      <c r="L158" s="85" t="s">
        <v>72</v>
      </c>
      <c r="M158" s="85" t="s">
        <v>73</v>
      </c>
      <c r="N158" s="85" t="s">
        <v>74</v>
      </c>
      <c r="O158" s="85" t="s">
        <v>75</v>
      </c>
      <c r="P158" s="85" t="s">
        <v>76</v>
      </c>
      <c r="Q158" s="85" t="s">
        <v>77</v>
      </c>
      <c r="R158" s="85" t="s">
        <v>78</v>
      </c>
      <c r="S158" s="85" t="s">
        <v>79</v>
      </c>
      <c r="T158" s="85" t="s">
        <v>80</v>
      </c>
      <c r="U158" s="85" t="s">
        <v>81</v>
      </c>
      <c r="Y158" s="24"/>
      <c r="Z158" s="24"/>
    </row>
    <row r="159" spans="1:26" ht="7.95" customHeight="1" x14ac:dyDescent="0.3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1:26" ht="7.95" customHeight="1" x14ac:dyDescent="0.3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1:26" ht="7.95" customHeight="1" x14ac:dyDescent="0.3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1:26" ht="7.95" customHeight="1" x14ac:dyDescent="0.3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1:26" ht="7.95" customHeight="1" x14ac:dyDescent="0.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1:26" ht="7.95" customHeight="1" x14ac:dyDescent="0.3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1:26" ht="7.95" customHeight="1" x14ac:dyDescent="0.3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1:26" ht="7.95" customHeight="1" x14ac:dyDescent="0.3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1:26" ht="7.95" customHeight="1" x14ac:dyDescent="0.3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1:26" ht="7.95" customHeight="1" x14ac:dyDescent="0.3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</sheetData>
  <mergeCells count="15">
    <mergeCell ref="A156:X156"/>
    <mergeCell ref="F148:H148"/>
    <mergeCell ref="F149:H149"/>
    <mergeCell ref="J147:W147"/>
    <mergeCell ref="A1:X1"/>
    <mergeCell ref="J151:W151"/>
    <mergeCell ref="F147:H147"/>
    <mergeCell ref="J146:W146"/>
    <mergeCell ref="J145:W145"/>
    <mergeCell ref="F151:H151"/>
    <mergeCell ref="J149:W149"/>
    <mergeCell ref="F150:H150"/>
    <mergeCell ref="J148:W148"/>
    <mergeCell ref="F146:H146"/>
    <mergeCell ref="J150:W15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0"/>
  <sheetViews>
    <sheetView showGridLines="0" workbookViewId="0"/>
  </sheetViews>
  <sheetFormatPr defaultRowHeight="14.4" x14ac:dyDescent="0.3"/>
  <cols>
    <col min="1" max="1" width="4" customWidth="1"/>
    <col min="2" max="2" width="8" customWidth="1"/>
    <col min="3" max="3" width="28" customWidth="1"/>
    <col min="4" max="4" width="35.109375" bestFit="1" customWidth="1"/>
    <col min="5" max="5" width="12" customWidth="1"/>
    <col min="6" max="6" width="18" customWidth="1"/>
    <col min="7" max="8" width="14" customWidth="1"/>
    <col min="9" max="9" width="28" customWidth="1"/>
    <col min="10" max="10" width="4" customWidth="1"/>
  </cols>
  <sheetData>
    <row r="1" spans="1:10" ht="4.9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6" customHeight="1" x14ac:dyDescent="0.3">
      <c r="A2" s="1"/>
      <c r="B2" s="139" t="s">
        <v>299</v>
      </c>
      <c r="C2" s="118"/>
      <c r="D2" s="118"/>
      <c r="E2" s="118"/>
      <c r="F2" s="118"/>
      <c r="G2" s="118"/>
      <c r="H2" s="118"/>
      <c r="I2" s="118"/>
      <c r="J2" s="86"/>
    </row>
    <row r="3" spans="1:10" ht="22.05" customHeight="1" x14ac:dyDescent="0.3">
      <c r="A3" s="1"/>
      <c r="B3" s="122" t="s">
        <v>300</v>
      </c>
      <c r="C3" s="118"/>
      <c r="D3" s="118"/>
      <c r="E3" s="118"/>
      <c r="F3" s="118"/>
      <c r="G3" s="118"/>
      <c r="H3" s="118"/>
      <c r="I3" s="118"/>
      <c r="J3" s="4"/>
    </row>
    <row r="4" spans="1:10" ht="4.0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19.95" customHeight="1" x14ac:dyDescent="0.3">
      <c r="A5" s="87"/>
      <c r="B5" s="140" t="s">
        <v>301</v>
      </c>
      <c r="C5" s="118"/>
      <c r="D5" s="118"/>
      <c r="E5" s="118"/>
      <c r="F5" s="118"/>
      <c r="G5" s="118"/>
      <c r="H5" s="118"/>
      <c r="I5" s="118"/>
      <c r="J5" s="87"/>
    </row>
    <row r="6" spans="1:10" ht="7.95" customHeight="1" x14ac:dyDescent="0.3"/>
    <row r="7" spans="1:10" ht="49.95" customHeight="1" x14ac:dyDescent="0.3">
      <c r="A7" s="31"/>
      <c r="B7" s="31" t="s">
        <v>302</v>
      </c>
      <c r="C7" s="31" t="s">
        <v>303</v>
      </c>
      <c r="D7" s="31" t="s">
        <v>304</v>
      </c>
      <c r="E7" s="31" t="s">
        <v>64</v>
      </c>
      <c r="F7" s="31" t="s">
        <v>305</v>
      </c>
      <c r="G7" s="31" t="s">
        <v>306</v>
      </c>
      <c r="H7" s="31" t="s">
        <v>307</v>
      </c>
      <c r="I7" s="31" t="s">
        <v>82</v>
      </c>
      <c r="J7" s="31"/>
    </row>
    <row r="8" spans="1:10" ht="22.05" customHeight="1" x14ac:dyDescent="0.3">
      <c r="A8" s="10"/>
      <c r="B8" s="88">
        <v>1</v>
      </c>
      <c r="C8" s="89" t="s">
        <v>308</v>
      </c>
      <c r="D8" s="90" t="s">
        <v>309</v>
      </c>
      <c r="E8" s="91" t="s">
        <v>86</v>
      </c>
      <c r="F8" s="92">
        <f>BOQ_Matrix!J157</f>
        <v>17.319444444444443</v>
      </c>
      <c r="G8" s="93">
        <v>2.88</v>
      </c>
      <c r="H8" s="94">
        <f t="shared" ref="H8:H15" si="0">IFERROR(CEILING(F8/G8,1),"")</f>
        <v>7</v>
      </c>
      <c r="I8" s="95" t="s">
        <v>310</v>
      </c>
      <c r="J8" s="9"/>
    </row>
    <row r="9" spans="1:10" ht="22.05" customHeight="1" x14ac:dyDescent="0.3">
      <c r="A9" s="10"/>
      <c r="B9" s="96">
        <v>2</v>
      </c>
      <c r="C9" s="97" t="s">
        <v>311</v>
      </c>
      <c r="D9" s="98" t="s">
        <v>312</v>
      </c>
      <c r="E9" s="99" t="s">
        <v>86</v>
      </c>
      <c r="F9" s="100">
        <f>BOQ_Matrix!K157</f>
        <v>155.19631944444444</v>
      </c>
      <c r="G9" s="101">
        <v>2.88</v>
      </c>
      <c r="H9" s="102">
        <f t="shared" si="0"/>
        <v>54</v>
      </c>
      <c r="I9" s="103" t="s">
        <v>310</v>
      </c>
      <c r="J9" s="12"/>
    </row>
    <row r="10" spans="1:10" ht="22.05" customHeight="1" x14ac:dyDescent="0.3">
      <c r="A10" s="10"/>
      <c r="B10" s="88">
        <v>3</v>
      </c>
      <c r="C10" s="89" t="s">
        <v>313</v>
      </c>
      <c r="D10" s="90" t="s">
        <v>314</v>
      </c>
      <c r="E10" s="91" t="s">
        <v>86</v>
      </c>
      <c r="F10" s="92">
        <f>BOQ_Matrix!L157</f>
        <v>32.230277777777779</v>
      </c>
      <c r="G10" s="93">
        <v>2.88</v>
      </c>
      <c r="H10" s="94">
        <f t="shared" si="0"/>
        <v>12</v>
      </c>
      <c r="I10" s="95" t="s">
        <v>310</v>
      </c>
      <c r="J10" s="9"/>
    </row>
    <row r="11" spans="1:10" ht="22.05" customHeight="1" x14ac:dyDescent="0.3">
      <c r="A11" s="10"/>
      <c r="B11" s="96">
        <v>4</v>
      </c>
      <c r="C11" s="97" t="s">
        <v>315</v>
      </c>
      <c r="D11" s="98" t="s">
        <v>316</v>
      </c>
      <c r="E11" s="99" t="s">
        <v>86</v>
      </c>
      <c r="F11" s="100">
        <f>BOQ_Matrix!M157</f>
        <v>685.08069444444459</v>
      </c>
      <c r="G11" s="101">
        <v>2.88</v>
      </c>
      <c r="H11" s="102">
        <f t="shared" si="0"/>
        <v>238</v>
      </c>
      <c r="I11" s="103" t="s">
        <v>310</v>
      </c>
      <c r="J11" s="12"/>
    </row>
    <row r="12" spans="1:10" ht="22.05" customHeight="1" x14ac:dyDescent="0.3">
      <c r="A12" s="10"/>
      <c r="B12" s="88">
        <v>5</v>
      </c>
      <c r="C12" s="89" t="s">
        <v>317</v>
      </c>
      <c r="D12" s="90" t="s">
        <v>318</v>
      </c>
      <c r="E12" s="91" t="s">
        <v>86</v>
      </c>
      <c r="F12" s="92">
        <f>BOQ_Matrix!N157</f>
        <v>155.19631944444444</v>
      </c>
      <c r="G12" s="93">
        <v>2.88</v>
      </c>
      <c r="H12" s="94">
        <f t="shared" si="0"/>
        <v>54</v>
      </c>
      <c r="I12" s="95" t="s">
        <v>310</v>
      </c>
      <c r="J12" s="9"/>
    </row>
    <row r="13" spans="1:10" ht="22.05" customHeight="1" x14ac:dyDescent="0.3">
      <c r="A13" s="10"/>
      <c r="B13" s="96">
        <v>6</v>
      </c>
      <c r="C13" s="97" t="s">
        <v>319</v>
      </c>
      <c r="D13" s="98" t="s">
        <v>75</v>
      </c>
      <c r="E13" s="99" t="s">
        <v>86</v>
      </c>
      <c r="F13" s="100">
        <f>BOQ_Matrix!O157</f>
        <v>46.331527777777772</v>
      </c>
      <c r="G13" s="101">
        <v>2.88</v>
      </c>
      <c r="H13" s="102">
        <f t="shared" si="0"/>
        <v>17</v>
      </c>
      <c r="I13" s="103" t="s">
        <v>310</v>
      </c>
      <c r="J13" s="12"/>
    </row>
    <row r="14" spans="1:10" ht="22.05" customHeight="1" x14ac:dyDescent="0.3">
      <c r="A14" s="10"/>
      <c r="B14" s="88">
        <v>7</v>
      </c>
      <c r="C14" s="89" t="s">
        <v>320</v>
      </c>
      <c r="D14" s="90" t="s">
        <v>76</v>
      </c>
      <c r="E14" s="91" t="s">
        <v>86</v>
      </c>
      <c r="F14" s="92">
        <f>BOQ_Matrix!P157</f>
        <v>54.375</v>
      </c>
      <c r="G14" s="93">
        <v>2.88</v>
      </c>
      <c r="H14" s="94">
        <f t="shared" si="0"/>
        <v>19</v>
      </c>
      <c r="I14" s="95" t="s">
        <v>310</v>
      </c>
      <c r="J14" s="9"/>
    </row>
    <row r="15" spans="1:10" ht="22.05" customHeight="1" x14ac:dyDescent="0.3">
      <c r="A15" s="10"/>
      <c r="B15" s="96">
        <v>8</v>
      </c>
      <c r="C15" s="97" t="s">
        <v>321</v>
      </c>
      <c r="D15" s="98" t="s">
        <v>322</v>
      </c>
      <c r="E15" s="99" t="s">
        <v>86</v>
      </c>
      <c r="F15" s="100">
        <f>BOQ_Matrix!Q157</f>
        <v>0</v>
      </c>
      <c r="G15" s="101">
        <v>2.88</v>
      </c>
      <c r="H15" s="102">
        <f t="shared" si="0"/>
        <v>0</v>
      </c>
      <c r="I15" s="103" t="s">
        <v>323</v>
      </c>
      <c r="J15" s="12"/>
    </row>
    <row r="16" spans="1:10" ht="22.05" customHeight="1" x14ac:dyDescent="0.3">
      <c r="A16" s="10"/>
      <c r="B16" s="88">
        <v>9</v>
      </c>
      <c r="C16" s="89" t="s">
        <v>324</v>
      </c>
      <c r="D16" s="90" t="s">
        <v>325</v>
      </c>
      <c r="E16" s="91" t="s">
        <v>326</v>
      </c>
      <c r="F16" s="92">
        <f>BOQ_Matrix!R157</f>
        <v>0</v>
      </c>
      <c r="G16" s="104" t="s">
        <v>102</v>
      </c>
      <c r="H16" s="104" t="s">
        <v>102</v>
      </c>
      <c r="I16" s="95" t="s">
        <v>327</v>
      </c>
      <c r="J16" s="9"/>
    </row>
    <row r="17" spans="1:10" ht="22.05" customHeight="1" x14ac:dyDescent="0.3">
      <c r="A17" s="10"/>
      <c r="B17" s="96">
        <v>10</v>
      </c>
      <c r="C17" s="97" t="s">
        <v>328</v>
      </c>
      <c r="D17" s="98" t="s">
        <v>329</v>
      </c>
      <c r="E17" s="99" t="s">
        <v>326</v>
      </c>
      <c r="F17" s="100">
        <f>BOQ_Matrix!S157</f>
        <v>0</v>
      </c>
      <c r="G17" s="105" t="s">
        <v>102</v>
      </c>
      <c r="H17" s="105" t="s">
        <v>102</v>
      </c>
      <c r="I17" s="103" t="s">
        <v>330</v>
      </c>
      <c r="J17" s="12"/>
    </row>
    <row r="18" spans="1:10" ht="22.05" customHeight="1" x14ac:dyDescent="0.3">
      <c r="A18" s="10"/>
      <c r="B18" s="88">
        <v>11</v>
      </c>
      <c r="C18" s="89" t="s">
        <v>331</v>
      </c>
      <c r="D18" s="90" t="s">
        <v>80</v>
      </c>
      <c r="E18" s="91" t="s">
        <v>99</v>
      </c>
      <c r="F18" s="92">
        <f>BOQ_Matrix!T157</f>
        <v>0</v>
      </c>
      <c r="G18" s="104" t="s">
        <v>102</v>
      </c>
      <c r="H18" s="104" t="s">
        <v>102</v>
      </c>
      <c r="I18" s="95" t="s">
        <v>332</v>
      </c>
      <c r="J18" s="9"/>
    </row>
    <row r="19" spans="1:10" ht="22.05" customHeight="1" x14ac:dyDescent="0.3">
      <c r="A19" s="10"/>
      <c r="B19" s="96">
        <v>12</v>
      </c>
      <c r="C19" s="97" t="s">
        <v>333</v>
      </c>
      <c r="D19" s="98" t="s">
        <v>81</v>
      </c>
      <c r="E19" s="99" t="s">
        <v>99</v>
      </c>
      <c r="F19" s="100">
        <f>BOQ_Matrix!U157</f>
        <v>0</v>
      </c>
      <c r="G19" s="105" t="s">
        <v>102</v>
      </c>
      <c r="H19" s="105" t="s">
        <v>102</v>
      </c>
      <c r="I19" s="103" t="s">
        <v>332</v>
      </c>
      <c r="J19" s="12"/>
    </row>
    <row r="20" spans="1:10" ht="7.95" customHeight="1" x14ac:dyDescent="0.3"/>
    <row r="21" spans="1:10" ht="30" customHeight="1" x14ac:dyDescent="0.3">
      <c r="A21" s="13"/>
      <c r="B21" s="138" t="s">
        <v>334</v>
      </c>
      <c r="C21" s="127"/>
      <c r="D21" s="127"/>
      <c r="E21" s="127"/>
      <c r="F21" s="127"/>
      <c r="G21" s="127"/>
      <c r="H21" s="127"/>
      <c r="I21" s="127"/>
      <c r="J21" s="68"/>
    </row>
    <row r="22" spans="1:10" ht="40.049999999999997" customHeight="1" x14ac:dyDescent="0.3">
      <c r="A22" s="67"/>
      <c r="B22" s="67" t="s">
        <v>302</v>
      </c>
      <c r="C22" s="67" t="s">
        <v>335</v>
      </c>
      <c r="D22" s="67" t="s">
        <v>30</v>
      </c>
      <c r="E22" s="67" t="s">
        <v>64</v>
      </c>
      <c r="F22" s="67" t="s">
        <v>276</v>
      </c>
      <c r="G22" s="67" t="s">
        <v>277</v>
      </c>
      <c r="H22" s="67" t="s">
        <v>102</v>
      </c>
      <c r="I22" s="67" t="s">
        <v>82</v>
      </c>
      <c r="J22" s="67"/>
    </row>
    <row r="23" spans="1:10" ht="22.05" customHeight="1" x14ac:dyDescent="0.3">
      <c r="A23" s="10"/>
      <c r="B23" s="96">
        <v>1</v>
      </c>
      <c r="C23" s="97" t="s">
        <v>279</v>
      </c>
      <c r="D23" s="98" t="s">
        <v>280</v>
      </c>
      <c r="E23" s="99" t="s">
        <v>281</v>
      </c>
      <c r="F23" s="106">
        <v>1</v>
      </c>
      <c r="G23" s="107">
        <f>F23*BOQ_Matrix!H2</f>
        <v>58</v>
      </c>
      <c r="H23" s="105" t="s">
        <v>102</v>
      </c>
      <c r="I23" s="103" t="s">
        <v>282</v>
      </c>
      <c r="J23" s="12"/>
    </row>
    <row r="24" spans="1:10" ht="22.05" customHeight="1" x14ac:dyDescent="0.3">
      <c r="A24" s="7"/>
      <c r="B24" s="88">
        <v>2</v>
      </c>
      <c r="C24" s="89" t="s">
        <v>283</v>
      </c>
      <c r="D24" s="90" t="s">
        <v>284</v>
      </c>
      <c r="E24" s="91" t="s">
        <v>281</v>
      </c>
      <c r="F24" s="108">
        <v>1</v>
      </c>
      <c r="G24" s="109">
        <f>F24*BOQ_Matrix!H2</f>
        <v>58</v>
      </c>
      <c r="H24" s="104" t="s">
        <v>102</v>
      </c>
      <c r="I24" s="95" t="s">
        <v>285</v>
      </c>
      <c r="J24" s="9"/>
    </row>
    <row r="25" spans="1:10" ht="22.05" customHeight="1" x14ac:dyDescent="0.3">
      <c r="A25" s="10"/>
      <c r="B25" s="96">
        <v>3</v>
      </c>
      <c r="C25" s="97" t="s">
        <v>286</v>
      </c>
      <c r="D25" s="98" t="s">
        <v>287</v>
      </c>
      <c r="E25" s="99" t="s">
        <v>281</v>
      </c>
      <c r="F25" s="106">
        <v>1</v>
      </c>
      <c r="G25" s="107">
        <f>F25*BOQ_Matrix!H2</f>
        <v>58</v>
      </c>
      <c r="H25" s="105" t="s">
        <v>102</v>
      </c>
      <c r="I25" s="103" t="s">
        <v>288</v>
      </c>
      <c r="J25" s="12"/>
    </row>
    <row r="26" spans="1:10" ht="22.05" customHeight="1" x14ac:dyDescent="0.3">
      <c r="A26" s="7"/>
      <c r="B26" s="88">
        <v>4</v>
      </c>
      <c r="C26" s="89" t="s">
        <v>289</v>
      </c>
      <c r="D26" s="90" t="s">
        <v>290</v>
      </c>
      <c r="E26" s="91" t="s">
        <v>281</v>
      </c>
      <c r="F26" s="108">
        <v>1</v>
      </c>
      <c r="G26" s="109">
        <f>F26*BOQ_Matrix!H2</f>
        <v>58</v>
      </c>
      <c r="H26" s="104" t="s">
        <v>102</v>
      </c>
      <c r="I26" s="95" t="s">
        <v>291</v>
      </c>
      <c r="J26" s="9"/>
    </row>
    <row r="27" spans="1:10" ht="22.05" customHeight="1" x14ac:dyDescent="0.3">
      <c r="A27" s="10"/>
      <c r="B27" s="96">
        <v>5</v>
      </c>
      <c r="C27" s="97" t="s">
        <v>292</v>
      </c>
      <c r="D27" s="98" t="s">
        <v>293</v>
      </c>
      <c r="E27" s="99" t="s">
        <v>281</v>
      </c>
      <c r="F27" s="106">
        <v>1</v>
      </c>
      <c r="G27" s="107">
        <f>F27*BOQ_Matrix!H2</f>
        <v>58</v>
      </c>
      <c r="H27" s="105" t="s">
        <v>102</v>
      </c>
      <c r="I27" s="103" t="s">
        <v>294</v>
      </c>
      <c r="J27" s="12"/>
    </row>
    <row r="28" spans="1:10" ht="22.05" customHeight="1" x14ac:dyDescent="0.3">
      <c r="A28" s="7"/>
      <c r="B28" s="88">
        <v>6</v>
      </c>
      <c r="C28" s="89" t="s">
        <v>295</v>
      </c>
      <c r="D28" s="90" t="s">
        <v>296</v>
      </c>
      <c r="E28" s="91" t="s">
        <v>281</v>
      </c>
      <c r="F28" s="108">
        <v>15</v>
      </c>
      <c r="G28" s="109">
        <f>F28*BOQ_Matrix!H2</f>
        <v>870</v>
      </c>
      <c r="H28" s="104" t="s">
        <v>102</v>
      </c>
      <c r="I28" s="95" t="s">
        <v>297</v>
      </c>
      <c r="J28" s="9"/>
    </row>
    <row r="29" spans="1:10" ht="4.9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19.95" customHeight="1" x14ac:dyDescent="0.3">
      <c r="A30" s="86"/>
      <c r="B30" s="123" t="s">
        <v>336</v>
      </c>
      <c r="C30" s="118"/>
      <c r="D30" s="118"/>
      <c r="E30" s="118"/>
      <c r="F30" s="118"/>
      <c r="G30" s="118"/>
      <c r="H30" s="118"/>
      <c r="I30" s="118"/>
      <c r="J30" s="86"/>
    </row>
  </sheetData>
  <mergeCells count="5">
    <mergeCell ref="B21:I21"/>
    <mergeCell ref="B30:I30"/>
    <mergeCell ref="B2:I2"/>
    <mergeCell ref="B3:I3"/>
    <mergeCell ref="B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1"/>
  <sheetViews>
    <sheetView showGridLines="0" tabSelected="1" topLeftCell="A25" workbookViewId="0">
      <selection activeCell="H49" sqref="H49"/>
    </sheetView>
  </sheetViews>
  <sheetFormatPr defaultRowHeight="14.4" x14ac:dyDescent="0.3"/>
  <cols>
    <col min="1" max="1" width="4" customWidth="1"/>
    <col min="2" max="2" width="8" customWidth="1"/>
    <col min="3" max="3" width="28" customWidth="1"/>
    <col min="4" max="4" width="35.109375" bestFit="1" customWidth="1"/>
    <col min="5" max="5" width="12" customWidth="1"/>
    <col min="6" max="6" width="16" customWidth="1"/>
    <col min="7" max="7" width="18" customWidth="1"/>
    <col min="8" max="8" width="19" bestFit="1" customWidth="1"/>
    <col min="9" max="9" width="28" customWidth="1"/>
    <col min="10" max="10" width="4" customWidth="1"/>
  </cols>
  <sheetData>
    <row r="1" spans="1:10" ht="4.95" customHeight="1" x14ac:dyDescent="0.3">
      <c r="A1" s="1"/>
    </row>
    <row r="2" spans="1:10" x14ac:dyDescent="0.3">
      <c r="B2" s="1"/>
    </row>
    <row r="3" spans="1:10" x14ac:dyDescent="0.3">
      <c r="C3" s="1"/>
    </row>
    <row r="4" spans="1:10" x14ac:dyDescent="0.3">
      <c r="D4" s="1"/>
    </row>
    <row r="5" spans="1:10" x14ac:dyDescent="0.3">
      <c r="E5" s="1"/>
    </row>
    <row r="6" spans="1:10" x14ac:dyDescent="0.3">
      <c r="F6" s="1"/>
    </row>
    <row r="7" spans="1:10" x14ac:dyDescent="0.3">
      <c r="G7" s="1"/>
    </row>
    <row r="8" spans="1:10" x14ac:dyDescent="0.3">
      <c r="H8" s="1"/>
    </row>
    <row r="9" spans="1:10" x14ac:dyDescent="0.3">
      <c r="I9" s="1"/>
    </row>
    <row r="10" spans="1:10" x14ac:dyDescent="0.3">
      <c r="J10" s="1"/>
    </row>
    <row r="11" spans="1:10" ht="36" customHeight="1" x14ac:dyDescent="0.3">
      <c r="A11" s="1"/>
      <c r="B11" s="139" t="s">
        <v>337</v>
      </c>
      <c r="C11" s="118"/>
      <c r="D11" s="118"/>
      <c r="E11" s="118"/>
      <c r="F11" s="118"/>
      <c r="G11" s="118"/>
      <c r="H11" s="118"/>
      <c r="I11" s="118"/>
      <c r="J11" s="86"/>
    </row>
    <row r="12" spans="1:10" ht="22.05" customHeight="1" x14ac:dyDescent="0.3">
      <c r="A12" s="1"/>
      <c r="B12" s="122" t="s">
        <v>338</v>
      </c>
      <c r="C12" s="118"/>
      <c r="D12" s="118"/>
      <c r="E12" s="118"/>
      <c r="F12" s="118"/>
      <c r="G12" s="118"/>
      <c r="H12" s="118"/>
      <c r="I12" s="118"/>
      <c r="J12" s="4"/>
    </row>
    <row r="13" spans="1:10" ht="4.05" customHeight="1" x14ac:dyDescent="0.3">
      <c r="A13" s="1"/>
    </row>
    <row r="14" spans="1:10" x14ac:dyDescent="0.3">
      <c r="B14" s="1"/>
    </row>
    <row r="15" spans="1:10" x14ac:dyDescent="0.3">
      <c r="C15" s="1"/>
    </row>
    <row r="16" spans="1:10" x14ac:dyDescent="0.3">
      <c r="D16" s="1"/>
    </row>
    <row r="17" spans="1:10" x14ac:dyDescent="0.3">
      <c r="E17" s="1"/>
    </row>
    <row r="18" spans="1:10" x14ac:dyDescent="0.3">
      <c r="F18" s="1"/>
    </row>
    <row r="19" spans="1:10" x14ac:dyDescent="0.3">
      <c r="G19" s="1"/>
    </row>
    <row r="20" spans="1:10" x14ac:dyDescent="0.3">
      <c r="H20" s="1"/>
    </row>
    <row r="21" spans="1:10" x14ac:dyDescent="0.3">
      <c r="I21" s="1"/>
    </row>
    <row r="22" spans="1:10" x14ac:dyDescent="0.3">
      <c r="J22" s="1"/>
    </row>
    <row r="23" spans="1:10" ht="19.95" customHeight="1" x14ac:dyDescent="0.3">
      <c r="A23" s="87"/>
      <c r="B23" s="140" t="s">
        <v>339</v>
      </c>
      <c r="C23" s="118"/>
      <c r="D23" s="118"/>
      <c r="E23" s="118"/>
      <c r="F23" s="118"/>
      <c r="G23" s="118"/>
      <c r="H23" s="118"/>
      <c r="I23" s="118"/>
      <c r="J23" s="87"/>
    </row>
    <row r="24" spans="1:10" ht="7.95" customHeight="1" x14ac:dyDescent="0.3"/>
    <row r="25" spans="1:10" ht="49.95" customHeight="1" x14ac:dyDescent="0.3">
      <c r="A25" s="31"/>
      <c r="B25" s="31" t="s">
        <v>302</v>
      </c>
      <c r="C25" s="31" t="s">
        <v>303</v>
      </c>
      <c r="D25" s="31" t="s">
        <v>304</v>
      </c>
      <c r="E25" s="31" t="s">
        <v>64</v>
      </c>
      <c r="F25" s="31" t="s">
        <v>340</v>
      </c>
      <c r="G25" s="31" t="s">
        <v>341</v>
      </c>
      <c r="H25" s="31" t="s">
        <v>342</v>
      </c>
      <c r="I25" s="31" t="s">
        <v>343</v>
      </c>
      <c r="J25" s="31"/>
    </row>
    <row r="26" spans="1:10" ht="22.05" customHeight="1" x14ac:dyDescent="0.3">
      <c r="A26" s="7"/>
      <c r="B26" s="88">
        <v>1</v>
      </c>
      <c r="C26" s="89" t="s">
        <v>308</v>
      </c>
      <c r="D26" s="90" t="s">
        <v>309</v>
      </c>
      <c r="E26" s="91" t="s">
        <v>86</v>
      </c>
      <c r="F26" s="92">
        <f>Materials_List!F9</f>
        <v>155.19631944444444</v>
      </c>
      <c r="G26" s="110">
        <v>38.5</v>
      </c>
      <c r="H26" s="111">
        <f t="shared" ref="H26:H37" si="0">IFERROR(F26*G26,"")</f>
        <v>5975.0582986111112</v>
      </c>
      <c r="I26" s="95" t="s">
        <v>310</v>
      </c>
      <c r="J26" s="9"/>
    </row>
    <row r="27" spans="1:10" ht="22.05" customHeight="1" x14ac:dyDescent="0.3">
      <c r="A27" s="10"/>
      <c r="B27" s="96">
        <v>2</v>
      </c>
      <c r="C27" s="97" t="s">
        <v>311</v>
      </c>
      <c r="D27" s="98" t="s">
        <v>312</v>
      </c>
      <c r="E27" s="99" t="s">
        <v>86</v>
      </c>
      <c r="F27" s="100">
        <f>Materials_List!F10</f>
        <v>32.230277777777779</v>
      </c>
      <c r="G27" s="110">
        <v>45</v>
      </c>
      <c r="H27" s="112">
        <f t="shared" si="0"/>
        <v>1450.3625</v>
      </c>
      <c r="I27" s="103" t="s">
        <v>310</v>
      </c>
      <c r="J27" s="12"/>
    </row>
    <row r="28" spans="1:10" ht="22.05" customHeight="1" x14ac:dyDescent="0.3">
      <c r="A28" s="7"/>
      <c r="B28" s="88">
        <v>3</v>
      </c>
      <c r="C28" s="89" t="s">
        <v>313</v>
      </c>
      <c r="D28" s="90" t="s">
        <v>314</v>
      </c>
      <c r="E28" s="91" t="s">
        <v>86</v>
      </c>
      <c r="F28" s="92">
        <f>Materials_List!F11</f>
        <v>685.08069444444459</v>
      </c>
      <c r="G28" s="110">
        <v>52</v>
      </c>
      <c r="H28" s="111">
        <f t="shared" si="0"/>
        <v>35624.196111111116</v>
      </c>
      <c r="I28" s="95" t="s">
        <v>310</v>
      </c>
      <c r="J28" s="9"/>
    </row>
    <row r="29" spans="1:10" ht="22.05" customHeight="1" x14ac:dyDescent="0.3">
      <c r="A29" s="10"/>
      <c r="B29" s="96">
        <v>4</v>
      </c>
      <c r="C29" s="97" t="s">
        <v>315</v>
      </c>
      <c r="D29" s="98" t="s">
        <v>316</v>
      </c>
      <c r="E29" s="99" t="s">
        <v>86</v>
      </c>
      <c r="F29" s="100">
        <f>Materials_List!F12</f>
        <v>155.19631944444444</v>
      </c>
      <c r="G29" s="110">
        <v>62</v>
      </c>
      <c r="H29" s="112">
        <f t="shared" si="0"/>
        <v>9622.1718055555557</v>
      </c>
      <c r="I29" s="103" t="s">
        <v>310</v>
      </c>
      <c r="J29" s="12"/>
    </row>
    <row r="30" spans="1:10" ht="22.05" customHeight="1" x14ac:dyDescent="0.3">
      <c r="A30" s="7"/>
      <c r="B30" s="88">
        <v>5</v>
      </c>
      <c r="C30" s="89" t="s">
        <v>317</v>
      </c>
      <c r="D30" s="90" t="s">
        <v>318</v>
      </c>
      <c r="E30" s="91" t="s">
        <v>86</v>
      </c>
      <c r="F30" s="92">
        <f>Materials_List!F13</f>
        <v>46.331527777777772</v>
      </c>
      <c r="G30" s="110">
        <v>55</v>
      </c>
      <c r="H30" s="111">
        <f t="shared" si="0"/>
        <v>2548.2340277777776</v>
      </c>
      <c r="I30" s="95" t="s">
        <v>310</v>
      </c>
      <c r="J30" s="9"/>
    </row>
    <row r="31" spans="1:10" ht="22.05" customHeight="1" x14ac:dyDescent="0.3">
      <c r="A31" s="10"/>
      <c r="B31" s="96">
        <v>6</v>
      </c>
      <c r="C31" s="97" t="s">
        <v>319</v>
      </c>
      <c r="D31" s="98" t="s">
        <v>75</v>
      </c>
      <c r="E31" s="99" t="s">
        <v>86</v>
      </c>
      <c r="F31" s="100">
        <f>Materials_List!F14</f>
        <v>54.375</v>
      </c>
      <c r="G31" s="110">
        <v>72</v>
      </c>
      <c r="H31" s="112">
        <f t="shared" si="0"/>
        <v>3915</v>
      </c>
      <c r="I31" s="103" t="s">
        <v>310</v>
      </c>
      <c r="J31" s="12"/>
    </row>
    <row r="32" spans="1:10" ht="22.05" customHeight="1" x14ac:dyDescent="0.3">
      <c r="A32" s="7"/>
      <c r="B32" s="88">
        <v>7</v>
      </c>
      <c r="C32" s="89" t="s">
        <v>320</v>
      </c>
      <c r="D32" s="90" t="s">
        <v>76</v>
      </c>
      <c r="E32" s="91" t="s">
        <v>86</v>
      </c>
      <c r="F32" s="92">
        <f>Materials_List!F15</f>
        <v>0</v>
      </c>
      <c r="G32" s="110">
        <v>78</v>
      </c>
      <c r="H32" s="111">
        <f t="shared" si="0"/>
        <v>0</v>
      </c>
      <c r="I32" s="95" t="s">
        <v>310</v>
      </c>
      <c r="J32" s="9"/>
    </row>
    <row r="33" spans="1:10" ht="22.05" customHeight="1" x14ac:dyDescent="0.3">
      <c r="A33" s="10"/>
      <c r="B33" s="96">
        <v>8</v>
      </c>
      <c r="C33" s="97" t="s">
        <v>321</v>
      </c>
      <c r="D33" s="98" t="s">
        <v>322</v>
      </c>
      <c r="E33" s="99" t="s">
        <v>86</v>
      </c>
      <c r="F33" s="100">
        <f>Materials_List!F16</f>
        <v>0</v>
      </c>
      <c r="G33" s="110">
        <v>95</v>
      </c>
      <c r="H33" s="112">
        <f t="shared" si="0"/>
        <v>0</v>
      </c>
      <c r="I33" s="103" t="s">
        <v>323</v>
      </c>
      <c r="J33" s="12"/>
    </row>
    <row r="34" spans="1:10" ht="22.05" customHeight="1" x14ac:dyDescent="0.3">
      <c r="A34" s="7"/>
      <c r="B34" s="88">
        <v>9</v>
      </c>
      <c r="C34" s="89" t="s">
        <v>324</v>
      </c>
      <c r="D34" s="90" t="s">
        <v>325</v>
      </c>
      <c r="E34" s="91" t="s">
        <v>326</v>
      </c>
      <c r="F34" s="92">
        <f>Materials_List!F17</f>
        <v>0</v>
      </c>
      <c r="G34" s="110">
        <v>18.5</v>
      </c>
      <c r="H34" s="111">
        <f t="shared" si="0"/>
        <v>0</v>
      </c>
      <c r="I34" s="95" t="s">
        <v>327</v>
      </c>
      <c r="J34" s="9"/>
    </row>
    <row r="35" spans="1:10" ht="22.05" customHeight="1" x14ac:dyDescent="0.3">
      <c r="A35" s="10"/>
      <c r="B35" s="96">
        <v>10</v>
      </c>
      <c r="C35" s="97" t="s">
        <v>328</v>
      </c>
      <c r="D35" s="98" t="s">
        <v>329</v>
      </c>
      <c r="E35" s="99" t="s">
        <v>326</v>
      </c>
      <c r="F35" s="100">
        <f>Materials_List!F18</f>
        <v>0</v>
      </c>
      <c r="G35" s="110">
        <v>65</v>
      </c>
      <c r="H35" s="112">
        <f t="shared" si="0"/>
        <v>0</v>
      </c>
      <c r="I35" s="103" t="s">
        <v>330</v>
      </c>
      <c r="J35" s="12"/>
    </row>
    <row r="36" spans="1:10" ht="22.05" customHeight="1" x14ac:dyDescent="0.3">
      <c r="A36" s="7"/>
      <c r="B36" s="88">
        <v>11</v>
      </c>
      <c r="C36" s="89" t="s">
        <v>331</v>
      </c>
      <c r="D36" s="90" t="s">
        <v>80</v>
      </c>
      <c r="E36" s="91" t="s">
        <v>99</v>
      </c>
      <c r="F36" s="92">
        <f>Materials_List!F19</f>
        <v>0</v>
      </c>
      <c r="G36" s="110">
        <v>12</v>
      </c>
      <c r="H36" s="111">
        <f t="shared" si="0"/>
        <v>0</v>
      </c>
      <c r="I36" s="95" t="s">
        <v>332</v>
      </c>
      <c r="J36" s="9"/>
    </row>
    <row r="37" spans="1:10" ht="22.05" customHeight="1" x14ac:dyDescent="0.3">
      <c r="A37" s="10"/>
      <c r="B37" s="96">
        <v>12</v>
      </c>
      <c r="C37" s="97" t="s">
        <v>333</v>
      </c>
      <c r="D37" s="98" t="s">
        <v>81</v>
      </c>
      <c r="E37" s="99" t="s">
        <v>99</v>
      </c>
      <c r="F37" s="100">
        <f>Materials_List!F20</f>
        <v>0</v>
      </c>
      <c r="G37" s="110">
        <v>9.5</v>
      </c>
      <c r="H37" s="112">
        <f t="shared" si="0"/>
        <v>0</v>
      </c>
      <c r="I37" s="103" t="s">
        <v>332</v>
      </c>
      <c r="J37" s="12"/>
    </row>
    <row r="38" spans="1:10" ht="7.95" customHeight="1" x14ac:dyDescent="0.3"/>
    <row r="39" spans="1:10" ht="30" customHeight="1" x14ac:dyDescent="0.3">
      <c r="A39" s="13"/>
      <c r="B39" s="138" t="s">
        <v>344</v>
      </c>
      <c r="C39" s="127"/>
      <c r="D39" s="127"/>
      <c r="E39" s="127"/>
      <c r="F39" s="127"/>
      <c r="G39" s="127"/>
      <c r="H39" s="127"/>
      <c r="I39" s="127"/>
      <c r="J39" s="68"/>
    </row>
    <row r="40" spans="1:10" ht="48" customHeight="1" x14ac:dyDescent="0.3">
      <c r="A40" s="67"/>
      <c r="B40" s="67" t="s">
        <v>302</v>
      </c>
      <c r="C40" s="67" t="s">
        <v>335</v>
      </c>
      <c r="D40" s="67" t="s">
        <v>30</v>
      </c>
      <c r="E40" s="67" t="s">
        <v>64</v>
      </c>
      <c r="F40" s="67" t="s">
        <v>340</v>
      </c>
      <c r="G40" s="67" t="s">
        <v>341</v>
      </c>
      <c r="H40" s="67" t="s">
        <v>342</v>
      </c>
      <c r="I40" s="67" t="s">
        <v>343</v>
      </c>
      <c r="J40" s="67"/>
    </row>
    <row r="41" spans="1:10" ht="22.05" customHeight="1" x14ac:dyDescent="0.3">
      <c r="A41" s="10"/>
      <c r="B41" s="96">
        <v>1</v>
      </c>
      <c r="C41" s="97" t="s">
        <v>279</v>
      </c>
      <c r="D41" s="98" t="s">
        <v>280</v>
      </c>
      <c r="E41" s="99" t="s">
        <v>281</v>
      </c>
      <c r="F41" s="107">
        <f>Materials_List!G24</f>
        <v>58</v>
      </c>
      <c r="G41" s="110">
        <v>850</v>
      </c>
      <c r="H41" s="112">
        <f t="shared" ref="H41:H46" si="1">IFERROR(F41*G41,"")</f>
        <v>49300</v>
      </c>
      <c r="I41" s="103" t="s">
        <v>282</v>
      </c>
      <c r="J41" s="12"/>
    </row>
    <row r="42" spans="1:10" ht="22.05" customHeight="1" x14ac:dyDescent="0.3">
      <c r="A42" s="7"/>
      <c r="B42" s="88">
        <v>2</v>
      </c>
      <c r="C42" s="89" t="s">
        <v>283</v>
      </c>
      <c r="D42" s="90" t="s">
        <v>284</v>
      </c>
      <c r="E42" s="91" t="s">
        <v>281</v>
      </c>
      <c r="F42" s="109">
        <f>Materials_List!G25</f>
        <v>58</v>
      </c>
      <c r="G42" s="110">
        <v>420</v>
      </c>
      <c r="H42" s="111">
        <f t="shared" si="1"/>
        <v>24360</v>
      </c>
      <c r="I42" s="95" t="s">
        <v>285</v>
      </c>
      <c r="J42" s="9"/>
    </row>
    <row r="43" spans="1:10" ht="22.05" customHeight="1" x14ac:dyDescent="0.3">
      <c r="A43" s="10"/>
      <c r="B43" s="96">
        <v>3</v>
      </c>
      <c r="C43" s="97" t="s">
        <v>286</v>
      </c>
      <c r="D43" s="98" t="s">
        <v>287</v>
      </c>
      <c r="E43" s="99" t="s">
        <v>281</v>
      </c>
      <c r="F43" s="107">
        <f>Materials_List!G26</f>
        <v>58</v>
      </c>
      <c r="G43" s="110">
        <v>1200</v>
      </c>
      <c r="H43" s="112">
        <f t="shared" si="1"/>
        <v>69600</v>
      </c>
      <c r="I43" s="103" t="s">
        <v>288</v>
      </c>
      <c r="J43" s="12"/>
    </row>
    <row r="44" spans="1:10" ht="22.05" customHeight="1" x14ac:dyDescent="0.3">
      <c r="A44" s="7"/>
      <c r="B44" s="88">
        <v>4</v>
      </c>
      <c r="C44" s="89" t="s">
        <v>289</v>
      </c>
      <c r="D44" s="90" t="s">
        <v>290</v>
      </c>
      <c r="E44" s="91" t="s">
        <v>281</v>
      </c>
      <c r="F44" s="109">
        <f>Materials_List!G27</f>
        <v>58</v>
      </c>
      <c r="G44" s="110">
        <v>2800</v>
      </c>
      <c r="H44" s="111">
        <f t="shared" si="1"/>
        <v>162400</v>
      </c>
      <c r="I44" s="95" t="s">
        <v>291</v>
      </c>
      <c r="J44" s="9"/>
    </row>
    <row r="45" spans="1:10" ht="22.05" customHeight="1" x14ac:dyDescent="0.3">
      <c r="A45" s="10"/>
      <c r="B45" s="96">
        <v>5</v>
      </c>
      <c r="C45" s="97" t="s">
        <v>292</v>
      </c>
      <c r="D45" s="98" t="s">
        <v>293</v>
      </c>
      <c r="E45" s="99" t="s">
        <v>281</v>
      </c>
      <c r="F45" s="107">
        <f>Materials_List!G28</f>
        <v>870</v>
      </c>
      <c r="G45" s="110">
        <v>950</v>
      </c>
      <c r="H45" s="112">
        <f t="shared" si="1"/>
        <v>826500</v>
      </c>
      <c r="I45" s="103" t="s">
        <v>294</v>
      </c>
      <c r="J45" s="12"/>
    </row>
    <row r="46" spans="1:10" ht="22.05" customHeight="1" x14ac:dyDescent="0.3">
      <c r="A46" s="7"/>
      <c r="B46" s="88">
        <v>6</v>
      </c>
      <c r="C46" s="89" t="s">
        <v>295</v>
      </c>
      <c r="D46" s="90" t="s">
        <v>296</v>
      </c>
      <c r="E46" s="91" t="s">
        <v>281</v>
      </c>
      <c r="F46" s="109">
        <f>Materials_List!G29</f>
        <v>0</v>
      </c>
      <c r="G46" s="110">
        <v>35</v>
      </c>
      <c r="H46" s="111">
        <f t="shared" si="1"/>
        <v>0</v>
      </c>
      <c r="I46" s="95" t="s">
        <v>297</v>
      </c>
      <c r="J46" s="9"/>
    </row>
    <row r="47" spans="1:10" ht="7.95" customHeight="1" x14ac:dyDescent="0.3"/>
    <row r="48" spans="1:10" ht="28.05" customHeight="1" x14ac:dyDescent="0.3">
      <c r="A48" s="1"/>
      <c r="B48" s="113"/>
      <c r="C48" s="143" t="s">
        <v>345</v>
      </c>
      <c r="D48" s="118"/>
      <c r="E48" s="118"/>
      <c r="F48" s="118"/>
      <c r="G48" s="118"/>
      <c r="H48" s="114">
        <f>IFERROR(H26,0)+IFERROR(H27,0)+IFERROR(H28,0)+IFERROR(H29,0)+IFERROR(H30,0)+IFERROR(H31,0)+IFERROR(H32,0)+IFERROR(H33,0)+IFERROR(H34,0)+IFERROR(H35,0)+IFERROR(H36,0)+IFERROR(H37,0)+IFERROR(H41,0)+IFERROR(H42,0)+IFERROR(H43,0)+IFERROR(H44,0)+IFERROR(H45,0)+IFERROR(H46,0)</f>
        <v>1191295.0227430556</v>
      </c>
      <c r="I48" s="113"/>
      <c r="J48" s="113"/>
    </row>
    <row r="49" spans="1:10" ht="28.05" customHeight="1" x14ac:dyDescent="0.3">
      <c r="A49" s="1"/>
      <c r="B49" s="4"/>
      <c r="C49" s="141" t="s">
        <v>346</v>
      </c>
      <c r="D49" s="118"/>
      <c r="E49" s="118"/>
      <c r="F49" s="118"/>
      <c r="G49" s="118"/>
      <c r="H49" s="115">
        <f>H48*0.05</f>
        <v>59564.75113715278</v>
      </c>
      <c r="I49" s="4"/>
      <c r="J49" s="4"/>
    </row>
    <row r="50" spans="1:10" ht="34.049999999999997" customHeight="1" x14ac:dyDescent="0.3">
      <c r="A50" s="1"/>
      <c r="B50" s="86"/>
      <c r="C50" s="142" t="s">
        <v>347</v>
      </c>
      <c r="D50" s="118"/>
      <c r="E50" s="118"/>
      <c r="F50" s="118"/>
      <c r="G50" s="118"/>
      <c r="H50" s="116">
        <f>H48+H49</f>
        <v>1250859.7738802084</v>
      </c>
      <c r="I50" s="86"/>
      <c r="J50" s="86"/>
    </row>
    <row r="51" spans="1:10" ht="4.95" customHeight="1" x14ac:dyDescent="0.3">
      <c r="A51" s="1"/>
    </row>
    <row r="52" spans="1:10" x14ac:dyDescent="0.3">
      <c r="B52" s="1"/>
    </row>
    <row r="53" spans="1:10" x14ac:dyDescent="0.3">
      <c r="C53" s="1"/>
    </row>
    <row r="54" spans="1:10" x14ac:dyDescent="0.3">
      <c r="D54" s="1"/>
    </row>
    <row r="55" spans="1:10" x14ac:dyDescent="0.3">
      <c r="E55" s="1"/>
    </row>
    <row r="56" spans="1:10" x14ac:dyDescent="0.3">
      <c r="F56" s="1"/>
    </row>
    <row r="57" spans="1:10" x14ac:dyDescent="0.3">
      <c r="G57" s="1"/>
    </row>
    <row r="58" spans="1:10" x14ac:dyDescent="0.3">
      <c r="H58" s="1"/>
    </row>
    <row r="59" spans="1:10" x14ac:dyDescent="0.3">
      <c r="I59" s="1"/>
    </row>
    <row r="60" spans="1:10" x14ac:dyDescent="0.3">
      <c r="J60" s="1"/>
    </row>
    <row r="61" spans="1:10" ht="19.95" customHeight="1" x14ac:dyDescent="0.3">
      <c r="A61" s="86"/>
      <c r="B61" s="123" t="s">
        <v>348</v>
      </c>
      <c r="C61" s="118"/>
      <c r="D61" s="118"/>
      <c r="E61" s="118"/>
      <c r="F61" s="118"/>
      <c r="G61" s="118"/>
      <c r="H61" s="118"/>
      <c r="I61" s="118"/>
      <c r="J61" s="86"/>
    </row>
  </sheetData>
  <mergeCells count="8">
    <mergeCell ref="B61:I61"/>
    <mergeCell ref="B23:I23"/>
    <mergeCell ref="C48:G48"/>
    <mergeCell ref="B12:I12"/>
    <mergeCell ref="C49:G49"/>
    <mergeCell ref="B39:I39"/>
    <mergeCell ref="B11:I11"/>
    <mergeCell ref="C50:G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BOQ_Matrix</vt:lpstr>
      <vt:lpstr>Materials_List</vt:lpstr>
      <vt:lpstr>Cost_Breakdown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SAFNAS KALDEEN</cp:lastModifiedBy>
  <dcterms:created xsi:type="dcterms:W3CDTF">2026-05-05T10:44:08Z</dcterms:created>
  <dcterms:modified xsi:type="dcterms:W3CDTF">2026-05-05T10:50:37Z</dcterms:modified>
</cp:coreProperties>
</file>