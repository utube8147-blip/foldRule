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My-CODE_RUSH\projects\Quantity Savior\client\"/>
    </mc:Choice>
  </mc:AlternateContent>
  <xr:revisionPtr revIDLastSave="0" documentId="13_ncr:1_{9DF77837-8C5A-47E1-BEDE-34707D17453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ummary" sheetId="1" r:id="rId1"/>
    <sheet name="BOQ_Matri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46" i="2" l="1"/>
  <c r="Y146" i="2"/>
  <c r="X146" i="2"/>
  <c r="W146" i="2"/>
  <c r="V146" i="2"/>
  <c r="U146" i="2"/>
  <c r="L146" i="2"/>
  <c r="K146" i="2"/>
  <c r="J146" i="2"/>
  <c r="H146" i="2"/>
  <c r="AB145" i="2"/>
  <c r="AB146" i="2" s="1"/>
  <c r="Z145" i="2"/>
  <c r="Y145" i="2"/>
  <c r="X145" i="2"/>
  <c r="W145" i="2"/>
  <c r="V145" i="2"/>
  <c r="U145" i="2"/>
  <c r="T145" i="2"/>
  <c r="T146" i="2" s="1"/>
  <c r="R145" i="2"/>
  <c r="R146" i="2" s="1"/>
  <c r="Q145" i="2"/>
  <c r="Q146" i="2" s="1"/>
  <c r="O145" i="2"/>
  <c r="O146" i="2" s="1"/>
  <c r="L145" i="2"/>
  <c r="K145" i="2"/>
  <c r="J145" i="2"/>
  <c r="Y144" i="2"/>
  <c r="U142" i="2"/>
  <c r="T140" i="2"/>
  <c r="AA138" i="2"/>
  <c r="AA136" i="2"/>
  <c r="AA145" i="2" s="1"/>
  <c r="AA146" i="2" s="1"/>
  <c r="O134" i="2"/>
  <c r="N132" i="2"/>
  <c r="N145" i="2" s="1"/>
  <c r="N146" i="2" s="1"/>
  <c r="M129" i="2"/>
  <c r="M128" i="2"/>
  <c r="M145" i="2" s="1"/>
  <c r="M146" i="2" s="1"/>
  <c r="M127" i="2"/>
  <c r="M126" i="2"/>
  <c r="M125" i="2"/>
  <c r="K124" i="2"/>
  <c r="Z119" i="2"/>
  <c r="Y119" i="2"/>
  <c r="X119" i="2"/>
  <c r="W119" i="2"/>
  <c r="V119" i="2"/>
  <c r="U119" i="2"/>
  <c r="H119" i="2"/>
  <c r="AB118" i="2"/>
  <c r="AB119" i="2" s="1"/>
  <c r="AA118" i="2"/>
  <c r="AA119" i="2" s="1"/>
  <c r="Z118" i="2"/>
  <c r="Y118" i="2"/>
  <c r="X118" i="2"/>
  <c r="W118" i="2"/>
  <c r="V118" i="2"/>
  <c r="U118" i="2"/>
  <c r="T118" i="2"/>
  <c r="T119" i="2" s="1"/>
  <c r="R118" i="2"/>
  <c r="R119" i="2" s="1"/>
  <c r="Q118" i="2"/>
  <c r="Q119" i="2" s="1"/>
  <c r="O118" i="2"/>
  <c r="O119" i="2" s="1"/>
  <c r="N118" i="2"/>
  <c r="N119" i="2" s="1"/>
  <c r="Y117" i="2"/>
  <c r="U114" i="2"/>
  <c r="T112" i="2"/>
  <c r="O110" i="2"/>
  <c r="N108" i="2"/>
  <c r="M105" i="2"/>
  <c r="J104" i="2"/>
  <c r="L103" i="2"/>
  <c r="L118" i="2" s="1"/>
  <c r="L119" i="2" s="1"/>
  <c r="M102" i="2"/>
  <c r="M99" i="2"/>
  <c r="J98" i="2"/>
  <c r="J118" i="2" s="1"/>
  <c r="J119" i="2" s="1"/>
  <c r="L97" i="2"/>
  <c r="M96" i="2"/>
  <c r="M93" i="2"/>
  <c r="M92" i="2"/>
  <c r="M91" i="2"/>
  <c r="M90" i="2"/>
  <c r="M89" i="2"/>
  <c r="M118" i="2" s="1"/>
  <c r="M119" i="2" s="1"/>
  <c r="K88" i="2"/>
  <c r="K118" i="2" s="1"/>
  <c r="K119" i="2" s="1"/>
  <c r="AB83" i="2"/>
  <c r="AA83" i="2"/>
  <c r="R83" i="2"/>
  <c r="Q83" i="2"/>
  <c r="N83" i="2"/>
  <c r="H83" i="2"/>
  <c r="AB82" i="2"/>
  <c r="AA82" i="2"/>
  <c r="Z82" i="2"/>
  <c r="Z83" i="2" s="1"/>
  <c r="X82" i="2"/>
  <c r="X83" i="2" s="1"/>
  <c r="W82" i="2"/>
  <c r="W83" i="2" s="1"/>
  <c r="V82" i="2"/>
  <c r="V83" i="2" s="1"/>
  <c r="R82" i="2"/>
  <c r="Q82" i="2"/>
  <c r="N82" i="2"/>
  <c r="L82" i="2"/>
  <c r="L83" i="2" s="1"/>
  <c r="K82" i="2"/>
  <c r="K83" i="2" s="1"/>
  <c r="J82" i="2"/>
  <c r="J83" i="2" s="1"/>
  <c r="Y81" i="2"/>
  <c r="Y82" i="2" s="1"/>
  <c r="Y83" i="2" s="1"/>
  <c r="U79" i="2"/>
  <c r="U82" i="2" s="1"/>
  <c r="U83" i="2" s="1"/>
  <c r="T77" i="2"/>
  <c r="T82" i="2" s="1"/>
  <c r="T83" i="2" s="1"/>
  <c r="O75" i="2"/>
  <c r="O82" i="2" s="1"/>
  <c r="O83" i="2" s="1"/>
  <c r="N73" i="2"/>
  <c r="M70" i="2"/>
  <c r="J69" i="2"/>
  <c r="L68" i="2"/>
  <c r="M67" i="2"/>
  <c r="M64" i="2"/>
  <c r="M63" i="2"/>
  <c r="M62" i="2"/>
  <c r="M61" i="2"/>
  <c r="M60" i="2"/>
  <c r="M82" i="2" s="1"/>
  <c r="M83" i="2" s="1"/>
  <c r="K59" i="2"/>
  <c r="V54" i="2"/>
  <c r="U54" i="2"/>
  <c r="Q54" i="2"/>
  <c r="O54" i="2"/>
  <c r="H54" i="2"/>
  <c r="AB53" i="2"/>
  <c r="AB54" i="2" s="1"/>
  <c r="AA53" i="2"/>
  <c r="AA54" i="2" s="1"/>
  <c r="Z53" i="2"/>
  <c r="Z54" i="2" s="1"/>
  <c r="Y53" i="2"/>
  <c r="Y54" i="2" s="1"/>
  <c r="X53" i="2"/>
  <c r="X54" i="2" s="1"/>
  <c r="W53" i="2"/>
  <c r="W54" i="2" s="1"/>
  <c r="V53" i="2"/>
  <c r="U53" i="2"/>
  <c r="Q53" i="2"/>
  <c r="O53" i="2"/>
  <c r="N53" i="2"/>
  <c r="N54" i="2" s="1"/>
  <c r="L53" i="2"/>
  <c r="L54" i="2" s="1"/>
  <c r="K53" i="2"/>
  <c r="K54" i="2" s="1"/>
  <c r="J53" i="2"/>
  <c r="J54" i="2" s="1"/>
  <c r="T52" i="2"/>
  <c r="T53" i="2" s="1"/>
  <c r="T54" i="2" s="1"/>
  <c r="R49" i="2"/>
  <c r="R53" i="2" s="1"/>
  <c r="R54" i="2" s="1"/>
  <c r="Q49" i="2"/>
  <c r="N46" i="2"/>
  <c r="M43" i="2"/>
  <c r="M42" i="2"/>
  <c r="M41" i="2"/>
  <c r="M40" i="2"/>
  <c r="M39" i="2"/>
  <c r="M53" i="2" s="1"/>
  <c r="M54" i="2" s="1"/>
  <c r="K38" i="2"/>
  <c r="AB33" i="2"/>
  <c r="AA33" i="2"/>
  <c r="Z33" i="2"/>
  <c r="O33" i="2"/>
  <c r="O151" i="2" s="1"/>
  <c r="L33" i="2"/>
  <c r="H33" i="2"/>
  <c r="AB32" i="2"/>
  <c r="AA32" i="2"/>
  <c r="Z32" i="2"/>
  <c r="Y32" i="2"/>
  <c r="Y33" i="2" s="1"/>
  <c r="X32" i="2"/>
  <c r="X33" i="2" s="1"/>
  <c r="W32" i="2"/>
  <c r="W33" i="2" s="1"/>
  <c r="V32" i="2"/>
  <c r="V33" i="2" s="1"/>
  <c r="U32" i="2"/>
  <c r="U33" i="2" s="1"/>
  <c r="U151" i="2" s="1"/>
  <c r="O32" i="2"/>
  <c r="L32" i="2"/>
  <c r="K32" i="2"/>
  <c r="K33" i="2" s="1"/>
  <c r="J32" i="2"/>
  <c r="J33" i="2" s="1"/>
  <c r="T31" i="2"/>
  <c r="T32" i="2" s="1"/>
  <c r="T33" i="2" s="1"/>
  <c r="R28" i="2"/>
  <c r="R32" i="2" s="1"/>
  <c r="R33" i="2" s="1"/>
  <c r="Q28" i="2"/>
  <c r="Q32" i="2" s="1"/>
  <c r="Q33" i="2" s="1"/>
  <c r="Q151" i="2" s="1"/>
  <c r="N25" i="2"/>
  <c r="M22" i="2"/>
  <c r="M21" i="2"/>
  <c r="M20" i="2"/>
  <c r="M19" i="2"/>
  <c r="M18" i="2"/>
  <c r="K17" i="2"/>
  <c r="N14" i="2"/>
  <c r="N32" i="2" s="1"/>
  <c r="N33" i="2" s="1"/>
  <c r="M11" i="2"/>
  <c r="M10" i="2"/>
  <c r="M9" i="2"/>
  <c r="M8" i="2"/>
  <c r="M7" i="2"/>
  <c r="M32" i="2" s="1"/>
  <c r="M33" i="2" s="1"/>
  <c r="K6" i="2"/>
  <c r="M151" i="2" l="1"/>
  <c r="J151" i="2"/>
  <c r="N151" i="2"/>
  <c r="K151" i="2"/>
  <c r="L151" i="2"/>
  <c r="AA151" i="2"/>
  <c r="AB151" i="2"/>
  <c r="Z151" i="2"/>
  <c r="W151" i="2"/>
  <c r="V151" i="2"/>
  <c r="X151" i="2"/>
  <c r="Y151" i="2"/>
  <c r="R151" i="2"/>
  <c r="T151" i="2"/>
</calcChain>
</file>

<file path=xl/sharedStrings.xml><?xml version="1.0" encoding="utf-8"?>
<sst xmlns="http://schemas.openxmlformats.org/spreadsheetml/2006/main" count="567" uniqueCount="288">
  <si>
    <t>BILL OF QUANTITIES  ·  KITCHEN FITOUT  ·  TYPE C01</t>
  </si>
  <si>
    <t>AL WAHA RESIDENCE 01   ·   EXPO CITY DUBAI   ·   Phase-01 â€“ Mobility District</t>
  </si>
  <si>
    <t>PROJECT INFORMATION</t>
  </si>
  <si>
    <t>Main Contractor</t>
  </si>
  <si>
    <t>ARCO GROUP</t>
  </si>
  <si>
    <t>Design Consultant</t>
  </si>
  <si>
    <t>HOPKINS ARCHITECTS</t>
  </si>
  <si>
    <t>Supervision</t>
  </si>
  <si>
    <t>DEWAN ARCHITECTS + ENGINEERS</t>
  </si>
  <si>
    <t>Kitchen Type</t>
  </si>
  <si>
    <t>C01</t>
  </si>
  <si>
    <t>Total Units</t>
  </si>
  <si>
    <t>Date</t>
  </si>
  <si>
    <t>2026-03-21</t>
  </si>
  <si>
    <t>Revision</t>
  </si>
  <si>
    <t>Rev 1 â€“ First Issue</t>
  </si>
  <si>
    <t>Currency / VAT</t>
  </si>
  <si>
    <t>AED  (VAT 5%)</t>
  </si>
  <si>
    <t>DRAWING REFERENCES</t>
  </si>
  <si>
    <t>Ref 01</t>
  </si>
  <si>
    <t>C5128-SDW-2TR5600-FO-6000001</t>
  </si>
  <si>
    <t>Ref 02</t>
  </si>
  <si>
    <t>C5128-SDW-2TR5600-FO-6000003</t>
  </si>
  <si>
    <t>Ref 03</t>
  </si>
  <si>
    <t>C5128-SDW-2TR5600-FO-6000004</t>
  </si>
  <si>
    <t>Ref 04</t>
  </si>
  <si>
    <t>C5128-SDW-2TR5600-FO-6000093</t>
  </si>
  <si>
    <t>SECTION SUMMARY</t>
  </si>
  <si>
    <t>Section</t>
  </si>
  <si>
    <t>Reference</t>
  </si>
  <si>
    <t>Description</t>
  </si>
  <si>
    <t>Items</t>
  </si>
  <si>
    <t>A</t>
  </si>
  <si>
    <t>ELV - E</t>
  </si>
  <si>
    <t>Top Unit</t>
  </si>
  <si>
    <t>B</t>
  </si>
  <si>
    <t>ELV - F</t>
  </si>
  <si>
    <t>C</t>
  </si>
  <si>
    <t>Bottom Unit</t>
  </si>
  <si>
    <t>D</t>
  </si>
  <si>
    <t>E</t>
  </si>
  <si>
    <t>ELV - G1</t>
  </si>
  <si>
    <t>Island Counter</t>
  </si>
  <si>
    <t>All quantities subject to field verification. Unit rates to be inserted by tendering contractor.</t>
  </si>
  <si>
    <t>BILL OF QUANTITIES – KITCHEN FITOUT (TYPE C01)   ·   AL WAHA RESIDENCE 01   ·   EXPO CITY DUBAI   ·   Phase-01 â€“ Mobility District</t>
  </si>
  <si>
    <t xml:space="preserve">  ELV - E  </t>
  </si>
  <si>
    <t>TOP UNIT</t>
  </si>
  <si>
    <t>Unit overall dimensions: L 2.07m Ã— W 0.38m Ã— H 1.00m</t>
  </si>
  <si>
    <t>S.No</t>
  </si>
  <si>
    <t>Unit</t>
  </si>
  <si>
    <t>Times</t>
  </si>
  <si>
    <t>L</t>
  </si>
  <si>
    <t>W</t>
  </si>
  <si>
    <t>H</t>
  </si>
  <si>
    <t>Total QTY</t>
  </si>
  <si>
    <t>6mm both
Melamine MR MDF Sheet</t>
  </si>
  <si>
    <t>9mm both Melamine
MR MDF Sheet</t>
  </si>
  <si>
    <t>12mm both Melamine
MR MDF Sheet</t>
  </si>
  <si>
    <t>18mm both Melamine
MR MDF Sheet</t>
  </si>
  <si>
    <t>18mm Plain
MR MDF Sheet</t>
  </si>
  <si>
    <t>Plywood</t>
  </si>
  <si>
    <t>25mm Plain MR MDF</t>
  </si>
  <si>
    <t>PL-01
Laminate (0.8mm)</t>
  </si>
  <si>
    <t>Full overlay
Hinges</t>
  </si>
  <si>
    <t>Drawer Runner
(0.5m)</t>
  </si>
  <si>
    <t>PVC Lipping
Gray Melamine</t>
  </si>
  <si>
    <t>PVC Lipping
25mm</t>
  </si>
  <si>
    <t>PVC Lipping
18mm</t>
  </si>
  <si>
    <t>Aluminium
Skirting</t>
  </si>
  <si>
    <t>PVC Lipping
12mm</t>
  </si>
  <si>
    <t>12mm MR MDF</t>
  </si>
  <si>
    <t>Timber</t>
  </si>
  <si>
    <t>Remarks</t>
  </si>
  <si>
    <t>Carcass - A</t>
  </si>
  <si>
    <t>A1</t>
  </si>
  <si>
    <t>Carcass-A â€“ 9mm MDF wall back panel</t>
  </si>
  <si>
    <t>MÂ²</t>
  </si>
  <si>
    <t>A2</t>
  </si>
  <si>
    <t>Carcass-A â€“ 18mm MDF bottom panel</t>
  </si>
  <si>
    <t>A3</t>
  </si>
  <si>
    <t>Carcass-A â€“ 18mm MDF top panel</t>
  </si>
  <si>
    <t>A4</t>
  </si>
  <si>
    <t>Carcass-A â€“ 18mm MDF side panels</t>
  </si>
  <si>
    <t>A5</t>
  </si>
  <si>
    <t>Carcass-A â€“ 18mm MDF internal dividers</t>
  </si>
  <si>
    <t>A6</t>
  </si>
  <si>
    <t>Carcass-A â€“ 18mm MDF fixed shelves</t>
  </si>
  <si>
    <t>A7</t>
  </si>
  <si>
    <t>Carcass-A â€“ PVC lipping to all exposed edges</t>
  </si>
  <si>
    <t>LM</t>
  </si>
  <si>
    <t>Total lipping per unit: 14.14 lm</t>
  </si>
  <si>
    <t>Shutter - A</t>
  </si>
  <si>
    <t>A8</t>
  </si>
  <si>
    <t>Shutter-A â€“ 18mm MDF plain shutter panel</t>
  </si>
  <si>
    <t>5 shutter doors; laminate PL-01 both faces = 4.14 mÂ²</t>
  </si>
  <si>
    <t>A9</t>
  </si>
  <si>
    <t>Shutter-A â€“ PVC lipping to shutter edges</t>
  </si>
  <si>
    <t>Carcass - B</t>
  </si>
  <si>
    <t>A10</t>
  </si>
  <si>
    <t>Carcass-B â€“ 9mm MDF wall back panel</t>
  </si>
  <si>
    <t>Carcass-B dims: L 0.44m Ã— W 0.38m Ã— H 1.45m</t>
  </si>
  <si>
    <t>A11</t>
  </si>
  <si>
    <t>Carcass-B â€“ 18mm MDF bottom panel</t>
  </si>
  <si>
    <t>A12</t>
  </si>
  <si>
    <t>Carcass-B â€“ 18mm MDF top panel</t>
  </si>
  <si>
    <t>A13</t>
  </si>
  <si>
    <t>Carcass-B â€“ 18mm MDF side panels</t>
  </si>
  <si>
    <t>A14</t>
  </si>
  <si>
    <t>Carcass-B â€“ 18mm MDF internal dividers</t>
  </si>
  <si>
    <t>A15</t>
  </si>
  <si>
    <t>Carcass-B â€“ 18mm MDF fixed shelves</t>
  </si>
  <si>
    <t>A16</t>
  </si>
  <si>
    <t>Carcass-B â€“ PVC lipping to all exposed edges</t>
  </si>
  <si>
    <t>Total lipping per unit: 24.72 lm</t>
  </si>
  <si>
    <t>Shutter - B</t>
  </si>
  <si>
    <t>A17</t>
  </si>
  <si>
    <t>Shutter-B â€“ 18mm MDF plain shutter panel</t>
  </si>
  <si>
    <t>1 shutter door; laminate PL-01 both faces = 1.276 mÂ²</t>
  </si>
  <si>
    <t>A18</t>
  </si>
  <si>
    <t>Shutter-B â€“ PVC lipping to shutter edges</t>
  </si>
  <si>
    <t>Total lipping per unit: 3.78 lm</t>
  </si>
  <si>
    <t>Side panel</t>
  </si>
  <si>
    <t>A19</t>
  </si>
  <si>
    <t>Side panel â€“ 25mm MDF exposed end panel</t>
  </si>
  <si>
    <t>25mm MDF = 1.755 mÂ²; laminate coverage = 1.855 mÂ²</t>
  </si>
  <si>
    <t>A20</t>
  </si>
  <si>
    <t>Side panel â€“ PVC lipping 25mm exposed edge</t>
  </si>
  <si>
    <t>Total per unit: 3.35 lm</t>
  </si>
  <si>
    <t>Ironmongary</t>
  </si>
  <si>
    <t>A21</t>
  </si>
  <si>
    <t>Ironmongery â€“ Full overlay soft-close hinges</t>
  </si>
  <si>
    <t>Nr</t>
  </si>
  <si>
    <t>12 hinges per unit</t>
  </si>
  <si>
    <t>Per Unit</t>
  </si>
  <si>
    <t>Total Unit</t>
  </si>
  <si>
    <t xml:space="preserve">  ELV - F  </t>
  </si>
  <si>
    <t>Unit overall dimensions: L 1.18m Ã— W 0.62m Ã— H 1.75m. Shelf layout depicted incorrectly on drawing â€“ should follow ELV-E (DWG C5128-SDW-2TR5600-FO-6000093); design confirmation required. Fridge unit considered separately.</t>
  </si>
  <si>
    <t>Carcass</t>
  </si>
  <si>
    <t>B1</t>
  </si>
  <si>
    <t>Carcass â€“ 9mm MDF wall back panel</t>
  </si>
  <si>
    <t>B2</t>
  </si>
  <si>
    <t>Carcass â€“ 18mm MDF bottom panel</t>
  </si>
  <si>
    <t>B3</t>
  </si>
  <si>
    <t>Carcass â€“ 18mm MDF top panel</t>
  </si>
  <si>
    <t>B4</t>
  </si>
  <si>
    <t>Carcass â€“ 18mm MDF side panels</t>
  </si>
  <si>
    <t>B5</t>
  </si>
  <si>
    <t>Carcass â€“ 18mm MDF internal dividers</t>
  </si>
  <si>
    <t>B6</t>
  </si>
  <si>
    <t>Carcass â€“ 18mm MDF fixed shelves</t>
  </si>
  <si>
    <t>B7</t>
  </si>
  <si>
    <t>Carcass â€“ PVC lipping to all exposed edges</t>
  </si>
  <si>
    <t>Total per unit: 25.02 lm</t>
  </si>
  <si>
    <t>Shutter</t>
  </si>
  <si>
    <t>B8</t>
  </si>
  <si>
    <t>Shutter â€“ 18mm MDF plain shutter panel</t>
  </si>
  <si>
    <t>2 shutter doors; laminate PL-01 both faces = 4.13 mÂ²</t>
  </si>
  <si>
    <t>B9</t>
  </si>
  <si>
    <t>Shutter â€“ PVC lipping to shutter edges</t>
  </si>
  <si>
    <t>Total per unit: 9.36 lm</t>
  </si>
  <si>
    <t>B10</t>
  </si>
  <si>
    <t>25mm MDF = 0.945 mÂ²; laminate coverage = 1.045 mÂ²</t>
  </si>
  <si>
    <t>B11</t>
  </si>
  <si>
    <t>Total per unit: 3.05 lm</t>
  </si>
  <si>
    <t>B12</t>
  </si>
  <si>
    <t>4 hinges per unit</t>
  </si>
  <si>
    <t>BOTTOM UNIT</t>
  </si>
  <si>
    <t>Unit overall dimensions: L 1.45m Ã— W 0.63m Ã— H 0.77m</t>
  </si>
  <si>
    <t>C1</t>
  </si>
  <si>
    <t>C2</t>
  </si>
  <si>
    <t>C3</t>
  </si>
  <si>
    <t>Carcass â€“ 18mm MDF top panel (open top)</t>
  </si>
  <si>
    <t>Open-top configuration; qty = 0</t>
  </si>
  <si>
    <t>C4</t>
  </si>
  <si>
    <t>C5</t>
  </si>
  <si>
    <t>C6</t>
  </si>
  <si>
    <t>Carcass â€“ 18mm MDF fixed shelves (nil)</t>
  </si>
  <si>
    <t>No fixed shelves in base unit</t>
  </si>
  <si>
    <t>C7</t>
  </si>
  <si>
    <t>Total per unit: 10.81 lm</t>
  </si>
  <si>
    <t>Drawer</t>
  </si>
  <si>
    <t>C8</t>
  </si>
  <si>
    <t>Drawer unit â€“ 18mm MDF drawer front</t>
  </si>
  <si>
    <t>C9</t>
  </si>
  <si>
    <t>Drawer unit â€“ 12mm MDF drawer sides</t>
  </si>
  <si>
    <t>C10</t>
  </si>
  <si>
    <t>Drawer unit â€“ 6mm MDF drawer bottom</t>
  </si>
  <si>
    <t>C11</t>
  </si>
  <si>
    <t>Drawer unit â€“ PVC lipping 18mm drawer front edges</t>
  </si>
  <si>
    <t>Total per unit: 1.36 lm</t>
  </si>
  <si>
    <t>C12</t>
  </si>
  <si>
    <t>Drawer unit â€“ PVC lipping 12mm drawer box edges</t>
  </si>
  <si>
    <t>Total per unit: 2.08 lm</t>
  </si>
  <si>
    <t>C13</t>
  </si>
  <si>
    <t>Laminate PL-01 both faces = 2.233 mÂ²</t>
  </si>
  <si>
    <t>C14</t>
  </si>
  <si>
    <t>Total per unit: 4.44 lm</t>
  </si>
  <si>
    <t>C15</t>
  </si>
  <si>
    <t>Counter substrate â€“ plywood base to countertop</t>
  </si>
  <si>
    <t>C16</t>
  </si>
  <si>
    <t>C17</t>
  </si>
  <si>
    <t>Ironmongery â€“ Soft-close full-extension drawer runners</t>
  </si>
  <si>
    <t>Pr</t>
  </si>
  <si>
    <t>C18</t>
  </si>
  <si>
    <t>Skirting â€“ aluminium skirting to base of unit</t>
  </si>
  <si>
    <t>Total per unit: 1.45 lm</t>
  </si>
  <si>
    <t>Unit overall dimensions: L 1.18m Ã— W 0.62m Ã— H 0.76m</t>
  </si>
  <si>
    <t>D1</t>
  </si>
  <si>
    <t>D2</t>
  </si>
  <si>
    <t>D3</t>
  </si>
  <si>
    <t>D4</t>
  </si>
  <si>
    <t>D5</t>
  </si>
  <si>
    <t>D6</t>
  </si>
  <si>
    <t>No fixed shelves</t>
  </si>
  <si>
    <t>D7</t>
  </si>
  <si>
    <t>Total per unit: 9.40 lm</t>
  </si>
  <si>
    <t>Drawer - A</t>
  </si>
  <si>
    <t>D8</t>
  </si>
  <si>
    <t>Drawer-A â€“ 18mm MDF drawer front (shallow)</t>
  </si>
  <si>
    <t>Drawer-A dims: L 0.59m Ã— W 0.50m Ã— H 0.175m</t>
  </si>
  <si>
    <t>D9</t>
  </si>
  <si>
    <t>Drawer-A â€“ 12mm MDF drawer sides</t>
  </si>
  <si>
    <t>D10</t>
  </si>
  <si>
    <t>Drawer-A â€“ 6mm MDF drawer bottom</t>
  </si>
  <si>
    <t>D11</t>
  </si>
  <si>
    <t>Drawer-A â€“ PVC lipping 18mm to drawer front</t>
  </si>
  <si>
    <t>Total per unit: 1.53 lm</t>
  </si>
  <si>
    <t>D12</t>
  </si>
  <si>
    <t>Drawer-A â€“ PVC lipping 12mm to drawer box</t>
  </si>
  <si>
    <t>Total per unit: 2.18 lm</t>
  </si>
  <si>
    <t>Drawer - B</t>
  </si>
  <si>
    <t>D13</t>
  </si>
  <si>
    <t>Drawer-B â€“ 18mm MDF drawer front (deep)</t>
  </si>
  <si>
    <t>Drawer-B dims: L 0.59m Ã— W 0.50m Ã— H 0.375m</t>
  </si>
  <si>
    <t>D14</t>
  </si>
  <si>
    <t>Drawer-B â€“ 12mm MDF drawer sides</t>
  </si>
  <si>
    <t>D15</t>
  </si>
  <si>
    <t>Drawer-B â€“ 6mm MDF drawer bottom</t>
  </si>
  <si>
    <t>D16</t>
  </si>
  <si>
    <t>Drawer-B â€“ PVC lipping 18mm to drawer front</t>
  </si>
  <si>
    <t>Total per unit: 1.93 lm</t>
  </si>
  <si>
    <t>D17</t>
  </si>
  <si>
    <t>Drawer-B â€“ PVC lipping 12mm to drawer box</t>
  </si>
  <si>
    <t>D18</t>
  </si>
  <si>
    <t>Laminate PL-01 both faces = 1.794 mÂ²</t>
  </si>
  <si>
    <t>D19</t>
  </si>
  <si>
    <t>Total per unit: 3.88 lm</t>
  </si>
  <si>
    <t>D20</t>
  </si>
  <si>
    <t>D21</t>
  </si>
  <si>
    <t>D22</t>
  </si>
  <si>
    <t>D23</t>
  </si>
  <si>
    <t>Ironmongery â€“ Ball catcher / magnetic catch</t>
  </si>
  <si>
    <t>D24</t>
  </si>
  <si>
    <t>Total per unit: 1.18 lm</t>
  </si>
  <si>
    <t xml:space="preserve">  ELV - G1  </t>
  </si>
  <si>
    <t>ISLAND COUNTER</t>
  </si>
  <si>
    <t>Unit overall dimensions: L 1.15m Ã— W 0.57m Ã— H 0.80m. No drawers in this unit.</t>
  </si>
  <si>
    <t>E1</t>
  </si>
  <si>
    <t>E2</t>
  </si>
  <si>
    <t>E3</t>
  </si>
  <si>
    <t>Qty not entered in takeoff â€“ confirm with design</t>
  </si>
  <si>
    <t>E4</t>
  </si>
  <si>
    <t>E5</t>
  </si>
  <si>
    <t>Carcass â€“ 18mm MDF internal dividers (nil)</t>
  </si>
  <si>
    <t>E6</t>
  </si>
  <si>
    <t>E7</t>
  </si>
  <si>
    <t>Total per unit: 7.78 lm</t>
  </si>
  <si>
    <t>E8</t>
  </si>
  <si>
    <t>Laminate PL-01 both faces = 1.84 mÂ²</t>
  </si>
  <si>
    <t>E9</t>
  </si>
  <si>
    <t>Total per unit: 3.90 lm</t>
  </si>
  <si>
    <t>E10</t>
  </si>
  <si>
    <t>E11</t>
  </si>
  <si>
    <t>End panel â€“ 12mm MR MDF side panel</t>
  </si>
  <si>
    <t>12mm MR MDF = 0.998 mÂ²</t>
  </si>
  <si>
    <t>End panel</t>
  </si>
  <si>
    <t>E12</t>
  </si>
  <si>
    <t>End panel â€“ solid timber framing</t>
  </si>
  <si>
    <t>MÂ³</t>
  </si>
  <si>
    <t>Timber volume per unit: 0.026 mÂ³</t>
  </si>
  <si>
    <t>E13</t>
  </si>
  <si>
    <t>E14</t>
  </si>
  <si>
    <t>Ironmongery â€“ Drawer runners (nil â€“ no drawers)</t>
  </si>
  <si>
    <t>No drawers</t>
  </si>
  <si>
    <t>E15</t>
  </si>
  <si>
    <t>Skirting â€“ aluminium skirting to base of island</t>
  </si>
  <si>
    <t>Total per unit: 1.15 lm</t>
  </si>
  <si>
    <t>PROJECT TOTALS  —  All Sections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</si>
</sst>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3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i/>
      <sz val="10"/>
      <color rgb="FFC8A84B"/>
      <name val="Calibri"/>
      <family val="2"/>
    </font>
    <font>
      <b/>
      <sz val="10"/>
      <color rgb="FFC8A84B"/>
      <name val="Calibri"/>
      <family val="2"/>
    </font>
    <font>
      <b/>
      <sz val="9"/>
      <color rgb="FF6C7A8D"/>
      <name val="Calibri"/>
      <family val="2"/>
    </font>
    <font>
      <b/>
      <sz val="10"/>
      <color rgb="FF0D1B2A"/>
      <name val="Calibri"/>
      <family val="2"/>
    </font>
    <font>
      <b/>
      <sz val="9"/>
      <color rgb="FFFFFFFF"/>
      <name val="Calibri"/>
      <family val="2"/>
    </font>
    <font>
      <sz val="10"/>
      <color rgb="FF0D1B2A"/>
      <name val="Calibri"/>
      <family val="2"/>
    </font>
    <font>
      <sz val="10"/>
      <color rgb="FF1C1C1C"/>
      <name val="Calibri"/>
      <family val="2"/>
    </font>
    <font>
      <i/>
      <sz val="8"/>
      <color rgb="FF6C7A8D"/>
      <name val="Calibri"/>
      <family val="2"/>
    </font>
    <font>
      <b/>
      <sz val="14"/>
      <color rgb="FFFFFFFF"/>
      <name val="Calibri"/>
      <family val="2"/>
    </font>
    <font>
      <b/>
      <sz val="10"/>
      <color rgb="FFFFFFFF"/>
      <name val="Calibri"/>
      <family val="2"/>
    </font>
    <font>
      <b/>
      <sz val="11"/>
      <color rgb="FF1A3A5C"/>
      <name val="Calibri"/>
      <family val="2"/>
    </font>
    <font>
      <b/>
      <sz val="11"/>
      <color rgb="FFC8A84B"/>
      <name val="Calibri"/>
      <family val="2"/>
    </font>
    <font>
      <i/>
      <sz val="10"/>
      <color rgb="FFB8962E"/>
      <name val="Calibri"/>
      <family val="2"/>
    </font>
    <font>
      <b/>
      <sz val="11"/>
      <color rgb="FFFFFFFF"/>
      <name val="Calibri"/>
      <family val="2"/>
    </font>
    <font>
      <b/>
      <sz val="11"/>
      <color rgb="FF0D1B2A"/>
      <name val="Calibri"/>
      <family val="2"/>
    </font>
    <font>
      <sz val="11"/>
      <color rgb="FF1C1C1C"/>
      <name val="Calibri"/>
      <family val="2"/>
    </font>
    <font>
      <i/>
      <sz val="10"/>
      <color rgb="FF6C7A8D"/>
      <name val="Calibri"/>
      <family val="2"/>
    </font>
    <font>
      <b/>
      <sz val="11"/>
      <color rgb="FF1C1C1C"/>
      <name val="Calibri"/>
      <family val="2"/>
    </font>
    <font>
      <b/>
      <sz val="13"/>
      <color rgb="FFFF0000"/>
      <name val="Calibri"/>
      <family val="2"/>
    </font>
    <font>
      <b/>
      <sz val="12"/>
      <color rgb="FFFFFFFF"/>
      <name val="Calibri"/>
      <family val="2"/>
    </font>
    <font>
      <b/>
      <sz val="12"/>
      <color rgb="FFB8962E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B8962E"/>
      </patternFill>
    </fill>
    <fill>
      <patternFill patternType="solid">
        <fgColor rgb="FF0D1B2A"/>
      </patternFill>
    </fill>
    <fill>
      <patternFill patternType="solid">
        <fgColor rgb="FF1A3A5C"/>
      </patternFill>
    </fill>
    <fill>
      <patternFill patternType="solid">
        <fgColor rgb="FF2C3E50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rgb="FFD9E1F2"/>
      </patternFill>
    </fill>
    <fill>
      <patternFill patternType="solid">
        <fgColor rgb="FFC8A84B"/>
      </patternFill>
    </fill>
    <fill>
      <patternFill patternType="solid">
        <fgColor rgb="FFEEEEEE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CE4D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B8962E"/>
      </bottom>
      <diagonal/>
    </border>
    <border>
      <left/>
      <right/>
      <top/>
      <bottom style="medium">
        <color rgb="FFB8962E"/>
      </bottom>
      <diagonal/>
    </border>
    <border>
      <left/>
      <right/>
      <top style="medium">
        <color rgb="FFB8962E"/>
      </top>
      <bottom style="thin">
        <color rgb="FFC8A84B"/>
      </bottom>
      <diagonal/>
    </border>
    <border>
      <left/>
      <right/>
      <top style="medium">
        <color rgb="FFB8962E"/>
      </top>
      <bottom style="thin">
        <color rgb="FFC8A84B"/>
      </bottom>
      <diagonal/>
    </border>
    <border>
      <left/>
      <right/>
      <top/>
      <bottom style="thin">
        <color rgb="FFDDEEFF"/>
      </bottom>
      <diagonal/>
    </border>
    <border>
      <left style="medium">
        <color rgb="FFB8962E"/>
      </left>
      <right/>
      <top/>
      <bottom style="thin">
        <color rgb="FFDDEEFF"/>
      </bottom>
      <diagonal/>
    </border>
    <border>
      <left/>
      <right style="medium">
        <color rgb="FFB8962E"/>
      </right>
      <top/>
      <bottom style="thin">
        <color rgb="FFDDEEFF"/>
      </bottom>
      <diagonal/>
    </border>
    <border>
      <left/>
      <right/>
      <top/>
      <bottom style="thin">
        <color rgb="FFE8E8E8"/>
      </bottom>
      <diagonal/>
    </border>
    <border>
      <left style="medium">
        <color rgb="FFB8962E"/>
      </left>
      <right/>
      <top/>
      <bottom style="thin">
        <color rgb="FFE8E8E8"/>
      </bottom>
      <diagonal/>
    </border>
    <border>
      <left/>
      <right style="medium">
        <color rgb="FFB8962E"/>
      </right>
      <top/>
      <bottom style="thin">
        <color rgb="FFE8E8E8"/>
      </bottom>
      <diagonal/>
    </border>
    <border>
      <left/>
      <right/>
      <top style="medium">
        <color rgb="FFB8962E"/>
      </top>
      <bottom style="medium">
        <color rgb="FFB8962E"/>
      </bottom>
      <diagonal/>
    </border>
    <border>
      <left style="medium">
        <color rgb="FFB8962E"/>
      </left>
      <right style="thin">
        <color rgb="FFC8A84B"/>
      </right>
      <top style="medium">
        <color rgb="FFB8962E"/>
      </top>
      <bottom style="medium">
        <color rgb="FFB8962E"/>
      </bottom>
      <diagonal/>
    </border>
    <border>
      <left style="medium">
        <color rgb="FFC8A84B"/>
      </left>
      <right style="medium">
        <color rgb="FFC8A84B"/>
      </right>
      <top style="medium">
        <color rgb="FFC8A84B"/>
      </top>
      <bottom style="medium">
        <color rgb="FFC8A84B"/>
      </bottom>
      <diagonal/>
    </border>
    <border>
      <left style="medium">
        <color rgb="FFB8962E"/>
      </left>
      <right style="medium">
        <color rgb="FFB8962E"/>
      </right>
      <top style="thin">
        <color rgb="FFB8962E"/>
      </top>
      <bottom style="thin">
        <color rgb="FFB8962E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3" borderId="1" xfId="0" applyFill="1" applyBorder="1"/>
    <xf numFmtId="0" fontId="0" fillId="4" borderId="0" xfId="0" applyFill="1"/>
    <xf numFmtId="0" fontId="0" fillId="2" borderId="3" xfId="0" applyFill="1" applyBorder="1"/>
    <xf numFmtId="0" fontId="0" fillId="5" borderId="3" xfId="0" applyFill="1" applyBorder="1"/>
    <xf numFmtId="0" fontId="0" fillId="2" borderId="5" xfId="0" applyFill="1" applyBorder="1"/>
    <xf numFmtId="0" fontId="4" fillId="6" borderId="6" xfId="0" applyFont="1" applyFill="1" applyBorder="1" applyAlignment="1">
      <alignment horizontal="left" vertical="center"/>
    </xf>
    <xf numFmtId="0" fontId="0" fillId="6" borderId="5" xfId="0" applyFill="1" applyBorder="1"/>
    <xf numFmtId="0" fontId="0" fillId="2" borderId="8" xfId="0" applyFill="1" applyBorder="1"/>
    <xf numFmtId="0" fontId="4" fillId="7" borderId="9" xfId="0" applyFont="1" applyFill="1" applyBorder="1" applyAlignment="1">
      <alignment horizontal="left" vertical="center"/>
    </xf>
    <xf numFmtId="0" fontId="0" fillId="7" borderId="8" xfId="0" applyFill="1" applyBorder="1"/>
    <xf numFmtId="0" fontId="0" fillId="2" borderId="11" xfId="0" applyFill="1" applyBorder="1"/>
    <xf numFmtId="0" fontId="6" fillId="4" borderId="11" xfId="0" applyFont="1" applyFill="1" applyBorder="1" applyAlignment="1">
      <alignment horizontal="center" vertical="center"/>
    </xf>
    <xf numFmtId="0" fontId="0" fillId="4" borderId="11" xfId="0" applyFill="1" applyBorder="1"/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left" vertical="center"/>
    </xf>
    <xf numFmtId="0" fontId="7" fillId="6" borderId="7" xfId="0" applyFont="1" applyFill="1" applyBorder="1" applyAlignment="1">
      <alignment horizontal="center" vertical="center"/>
    </xf>
    <xf numFmtId="0" fontId="7" fillId="7" borderId="9" xfId="0" applyFont="1" applyFill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left" vertical="center"/>
    </xf>
    <xf numFmtId="0" fontId="7" fillId="7" borderId="10" xfId="0" applyFont="1" applyFill="1" applyBorder="1" applyAlignment="1">
      <alignment horizontal="center" vertical="center"/>
    </xf>
    <xf numFmtId="0" fontId="0" fillId="7" borderId="15" xfId="0" applyFill="1" applyBorder="1"/>
    <xf numFmtId="0" fontId="0" fillId="4" borderId="1" xfId="0" applyFill="1" applyBorder="1"/>
    <xf numFmtId="0" fontId="11" fillId="4" borderId="1" xfId="0" applyFont="1" applyFill="1" applyBorder="1" applyAlignment="1">
      <alignment horizontal="left" vertical="center"/>
    </xf>
    <xf numFmtId="0" fontId="12" fillId="4" borderId="1" xfId="0" applyFont="1" applyFill="1" applyBorder="1"/>
    <xf numFmtId="0" fontId="0" fillId="3" borderId="11" xfId="0" applyFill="1" applyBorder="1"/>
    <xf numFmtId="0" fontId="13" fillId="4" borderId="12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left" vertical="center"/>
    </xf>
    <xf numFmtId="0" fontId="14" fillId="3" borderId="11" xfId="0" applyFont="1" applyFill="1" applyBorder="1" applyAlignment="1">
      <alignment horizontal="right" vertical="center" wrapText="1"/>
    </xf>
    <xf numFmtId="0" fontId="15" fillId="4" borderId="13" xfId="0" applyFont="1" applyFill="1" applyBorder="1" applyAlignment="1">
      <alignment horizontal="center" vertical="center" wrapText="1"/>
    </xf>
    <xf numFmtId="0" fontId="0" fillId="5" borderId="0" xfId="0" applyFill="1"/>
    <xf numFmtId="0" fontId="0" fillId="8" borderId="0" xfId="0" applyFill="1"/>
    <xf numFmtId="0" fontId="12" fillId="8" borderId="0" xfId="0" applyFont="1" applyFill="1" applyAlignment="1">
      <alignment horizontal="left" vertical="center"/>
    </xf>
    <xf numFmtId="0" fontId="16" fillId="9" borderId="14" xfId="0" applyFont="1" applyFill="1" applyBorder="1"/>
    <xf numFmtId="0" fontId="17" fillId="7" borderId="15" xfId="0" applyFont="1" applyFill="1" applyBorder="1" applyAlignment="1">
      <alignment horizontal="left" vertical="center"/>
    </xf>
    <xf numFmtId="0" fontId="17" fillId="7" borderId="15" xfId="0" applyFont="1" applyFill="1" applyBorder="1" applyAlignment="1">
      <alignment horizontal="center" vertical="center"/>
    </xf>
    <xf numFmtId="0" fontId="17" fillId="7" borderId="15" xfId="0" applyFont="1" applyFill="1" applyBorder="1" applyAlignment="1">
      <alignment horizontal="left" vertical="center" wrapText="1"/>
    </xf>
    <xf numFmtId="164" fontId="17" fillId="6" borderId="15" xfId="0" applyNumberFormat="1" applyFont="1" applyFill="1" applyBorder="1" applyAlignment="1">
      <alignment horizontal="center" vertical="center"/>
    </xf>
    <xf numFmtId="0" fontId="0" fillId="10" borderId="0" xfId="0" applyFill="1"/>
    <xf numFmtId="0" fontId="18" fillId="7" borderId="15" xfId="0" applyFont="1" applyFill="1" applyBorder="1" applyAlignment="1">
      <alignment horizontal="left" vertical="center" wrapText="1"/>
    </xf>
    <xf numFmtId="0" fontId="17" fillId="11" borderId="15" xfId="0" applyFont="1" applyFill="1" applyBorder="1" applyAlignment="1">
      <alignment horizontal="left" vertical="center"/>
    </xf>
    <xf numFmtId="0" fontId="17" fillId="11" borderId="15" xfId="0" applyFont="1" applyFill="1" applyBorder="1" applyAlignment="1">
      <alignment horizontal="center" vertical="center"/>
    </xf>
    <xf numFmtId="0" fontId="17" fillId="11" borderId="15" xfId="0" applyFont="1" applyFill="1" applyBorder="1" applyAlignment="1">
      <alignment horizontal="left" vertical="center" wrapText="1"/>
    </xf>
    <xf numFmtId="0" fontId="18" fillId="11" borderId="15" xfId="0" applyFont="1" applyFill="1" applyBorder="1" applyAlignment="1">
      <alignment horizontal="left" vertical="center" wrapText="1"/>
    </xf>
    <xf numFmtId="164" fontId="17" fillId="7" borderId="15" xfId="0" applyNumberFormat="1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164" fontId="17" fillId="12" borderId="15" xfId="0" applyNumberFormat="1" applyFont="1" applyFill="1" applyBorder="1" applyAlignment="1">
      <alignment horizontal="center" vertical="center"/>
    </xf>
    <xf numFmtId="0" fontId="0" fillId="12" borderId="0" xfId="0" applyFill="1"/>
    <xf numFmtId="0" fontId="20" fillId="0" borderId="0" xfId="0" applyFont="1" applyAlignment="1">
      <alignment horizontal="center" vertical="center"/>
    </xf>
    <xf numFmtId="0" fontId="19" fillId="13" borderId="15" xfId="0" applyFont="1" applyFill="1" applyBorder="1" applyAlignment="1">
      <alignment horizontal="center" vertical="center"/>
    </xf>
    <xf numFmtId="164" fontId="17" fillId="13" borderId="15" xfId="0" applyNumberFormat="1" applyFont="1" applyFill="1" applyBorder="1" applyAlignment="1">
      <alignment horizontal="center" vertical="center"/>
    </xf>
    <xf numFmtId="0" fontId="0" fillId="13" borderId="0" xfId="0" applyFill="1"/>
    <xf numFmtId="0" fontId="21" fillId="3" borderId="13" xfId="0" applyFont="1" applyFill="1" applyBorder="1" applyAlignment="1">
      <alignment horizontal="center" vertical="center"/>
    </xf>
    <xf numFmtId="164" fontId="22" fillId="3" borderId="13" xfId="0" applyNumberFormat="1" applyFont="1" applyFill="1" applyBorder="1" applyAlignment="1">
      <alignment horizontal="center" vertical="center"/>
    </xf>
    <xf numFmtId="0" fontId="0" fillId="3" borderId="0" xfId="0" applyFill="1"/>
    <xf numFmtId="0" fontId="15" fillId="4" borderId="15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left" vertical="center"/>
    </xf>
    <xf numFmtId="0" fontId="0" fillId="0" borderId="0" xfId="0"/>
    <xf numFmtId="0" fontId="5" fillId="7" borderId="10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horizontal="left" vertical="center"/>
    </xf>
    <xf numFmtId="0" fontId="0" fillId="0" borderId="4" xfId="0" applyBorder="1"/>
    <xf numFmtId="0" fontId="2" fillId="4" borderId="0" xfId="0" applyFont="1" applyFill="1" applyAlignment="1">
      <alignment horizontal="left" vertical="center"/>
    </xf>
    <xf numFmtId="0" fontId="1" fillId="3" borderId="1" xfId="0" applyFont="1" applyFill="1" applyBorder="1" applyAlignment="1">
      <alignment horizontal="left" vertical="center"/>
    </xf>
    <xf numFmtId="0" fontId="0" fillId="0" borderId="2" xfId="0" applyBorder="1"/>
    <xf numFmtId="0" fontId="9" fillId="3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"/>
  <sheetViews>
    <sheetView showGridLines="0" workbookViewId="0">
      <selection activeCell="C12" sqref="C12:E12"/>
    </sheetView>
  </sheetViews>
  <sheetFormatPr defaultRowHeight="14.4" x14ac:dyDescent="0.3"/>
  <cols>
    <col min="1" max="1" width="3.44140625" customWidth="1"/>
    <col min="2" max="2" width="22" customWidth="1"/>
    <col min="3" max="3" width="36" customWidth="1"/>
    <col min="4" max="5" width="16" customWidth="1"/>
    <col min="6" max="6" width="3.44140625" customWidth="1"/>
  </cols>
  <sheetData>
    <row r="1" spans="1:6" ht="15" customHeight="1" x14ac:dyDescent="0.3">
      <c r="A1" s="1"/>
      <c r="B1" s="1"/>
      <c r="C1" s="1"/>
      <c r="D1" s="1"/>
      <c r="E1" s="1"/>
      <c r="F1" s="1"/>
    </row>
    <row r="2" spans="1:6" ht="36" customHeight="1" x14ac:dyDescent="0.3">
      <c r="A2" s="2"/>
      <c r="B2" s="65" t="s">
        <v>0</v>
      </c>
      <c r="C2" s="66"/>
      <c r="D2" s="66"/>
      <c r="E2" s="66"/>
      <c r="F2" s="3"/>
    </row>
    <row r="3" spans="1:6" ht="19.95" customHeight="1" x14ac:dyDescent="0.3">
      <c r="A3" s="1"/>
      <c r="B3" s="64" t="s">
        <v>1</v>
      </c>
      <c r="C3" s="60"/>
      <c r="D3" s="60"/>
      <c r="E3" s="60"/>
      <c r="F3" s="4"/>
    </row>
    <row r="4" spans="1:6" ht="3" customHeight="1" x14ac:dyDescent="0.3">
      <c r="A4" s="1"/>
      <c r="B4" s="1"/>
      <c r="C4" s="1"/>
      <c r="D4" s="1"/>
      <c r="E4" s="1"/>
      <c r="F4" s="1"/>
    </row>
    <row r="5" spans="1:6" ht="25.95" customHeight="1" x14ac:dyDescent="0.3">
      <c r="A5" s="5"/>
      <c r="B5" s="62" t="s">
        <v>2</v>
      </c>
      <c r="C5" s="63"/>
      <c r="D5" s="63"/>
      <c r="E5" s="63"/>
      <c r="F5" s="6"/>
    </row>
    <row r="6" spans="1:6" ht="22.05" customHeight="1" x14ac:dyDescent="0.3">
      <c r="A6" s="7"/>
      <c r="B6" s="8" t="s">
        <v>3</v>
      </c>
      <c r="C6" s="59" t="s">
        <v>4</v>
      </c>
      <c r="D6" s="60"/>
      <c r="E6" s="60"/>
      <c r="F6" s="9"/>
    </row>
    <row r="7" spans="1:6" ht="22.05" customHeight="1" x14ac:dyDescent="0.3">
      <c r="A7" s="10"/>
      <c r="B7" s="11" t="s">
        <v>5</v>
      </c>
      <c r="C7" s="61" t="s">
        <v>6</v>
      </c>
      <c r="D7" s="60"/>
      <c r="E7" s="60"/>
      <c r="F7" s="12"/>
    </row>
    <row r="8" spans="1:6" ht="22.05" customHeight="1" x14ac:dyDescent="0.3">
      <c r="A8" s="7"/>
      <c r="B8" s="8" t="s">
        <v>7</v>
      </c>
      <c r="C8" s="59" t="s">
        <v>8</v>
      </c>
      <c r="D8" s="60"/>
      <c r="E8" s="60"/>
      <c r="F8" s="9"/>
    </row>
    <row r="9" spans="1:6" ht="22.05" customHeight="1" x14ac:dyDescent="0.3">
      <c r="A9" s="10"/>
      <c r="B9" s="11" t="s">
        <v>9</v>
      </c>
      <c r="C9" s="61" t="s">
        <v>10</v>
      </c>
      <c r="D9" s="60"/>
      <c r="E9" s="60"/>
      <c r="F9" s="12"/>
    </row>
    <row r="10" spans="1:6" ht="22.05" customHeight="1" x14ac:dyDescent="0.3">
      <c r="A10" s="7"/>
      <c r="B10" s="8" t="s">
        <v>11</v>
      </c>
      <c r="C10" s="59">
        <v>58</v>
      </c>
      <c r="D10" s="60"/>
      <c r="E10" s="60"/>
      <c r="F10" s="9"/>
    </row>
    <row r="11" spans="1:6" ht="22.05" customHeight="1" x14ac:dyDescent="0.3">
      <c r="A11" s="10"/>
      <c r="B11" s="11" t="s">
        <v>12</v>
      </c>
      <c r="C11" s="61" t="s">
        <v>13</v>
      </c>
      <c r="D11" s="60"/>
      <c r="E11" s="60"/>
      <c r="F11" s="12"/>
    </row>
    <row r="12" spans="1:6" ht="22.05" customHeight="1" x14ac:dyDescent="0.3">
      <c r="A12" s="7"/>
      <c r="B12" s="8" t="s">
        <v>14</v>
      </c>
      <c r="C12" s="59" t="s">
        <v>15</v>
      </c>
      <c r="D12" s="60"/>
      <c r="E12" s="60"/>
      <c r="F12" s="9"/>
    </row>
    <row r="13" spans="1:6" ht="22.05" customHeight="1" x14ac:dyDescent="0.3">
      <c r="A13" s="10"/>
      <c r="B13" s="11" t="s">
        <v>16</v>
      </c>
      <c r="C13" s="61" t="s">
        <v>17</v>
      </c>
      <c r="D13" s="60"/>
      <c r="E13" s="60"/>
      <c r="F13" s="12"/>
    </row>
    <row r="14" spans="1:6" ht="7.95" customHeight="1" x14ac:dyDescent="0.3"/>
    <row r="15" spans="1:6" ht="25.95" customHeight="1" x14ac:dyDescent="0.3">
      <c r="A15" s="5"/>
      <c r="B15" s="62" t="s">
        <v>18</v>
      </c>
      <c r="C15" s="63"/>
      <c r="D15" s="63"/>
      <c r="E15" s="63"/>
      <c r="F15" s="6"/>
    </row>
    <row r="16" spans="1:6" ht="22.05" customHeight="1" x14ac:dyDescent="0.3">
      <c r="A16" s="7"/>
      <c r="B16" s="8" t="s">
        <v>19</v>
      </c>
      <c r="C16" s="59" t="s">
        <v>20</v>
      </c>
      <c r="D16" s="60"/>
      <c r="E16" s="60"/>
      <c r="F16" s="9"/>
    </row>
    <row r="17" spans="1:6" ht="22.05" customHeight="1" x14ac:dyDescent="0.3">
      <c r="A17" s="10"/>
      <c r="B17" s="11" t="s">
        <v>21</v>
      </c>
      <c r="C17" s="61" t="s">
        <v>22</v>
      </c>
      <c r="D17" s="60"/>
      <c r="E17" s="60"/>
      <c r="F17" s="12"/>
    </row>
    <row r="18" spans="1:6" ht="22.05" customHeight="1" x14ac:dyDescent="0.3">
      <c r="A18" s="7"/>
      <c r="B18" s="8" t="s">
        <v>23</v>
      </c>
      <c r="C18" s="59" t="s">
        <v>24</v>
      </c>
      <c r="D18" s="60"/>
      <c r="E18" s="60"/>
      <c r="F18" s="9"/>
    </row>
    <row r="19" spans="1:6" ht="22.05" customHeight="1" x14ac:dyDescent="0.3">
      <c r="A19" s="10"/>
      <c r="B19" s="11" t="s">
        <v>25</v>
      </c>
      <c r="C19" s="61" t="s">
        <v>26</v>
      </c>
      <c r="D19" s="60"/>
      <c r="E19" s="60"/>
      <c r="F19" s="12"/>
    </row>
    <row r="20" spans="1:6" ht="7.95" customHeight="1" x14ac:dyDescent="0.3"/>
    <row r="21" spans="1:6" ht="25.95" customHeight="1" x14ac:dyDescent="0.3">
      <c r="A21" s="5"/>
      <c r="B21" s="62" t="s">
        <v>27</v>
      </c>
      <c r="C21" s="63"/>
      <c r="D21" s="63"/>
      <c r="E21" s="63"/>
      <c r="F21" s="6"/>
    </row>
    <row r="22" spans="1:6" ht="25.95" customHeight="1" x14ac:dyDescent="0.3">
      <c r="A22" s="13"/>
      <c r="B22" s="14" t="s">
        <v>28</v>
      </c>
      <c r="C22" s="14" t="s">
        <v>29</v>
      </c>
      <c r="D22" s="14" t="s">
        <v>30</v>
      </c>
      <c r="E22" s="14" t="s">
        <v>31</v>
      </c>
      <c r="F22" s="15"/>
    </row>
    <row r="23" spans="1:6" ht="22.05" customHeight="1" x14ac:dyDescent="0.3">
      <c r="A23" s="7"/>
      <c r="B23" s="16" t="s">
        <v>32</v>
      </c>
      <c r="C23" s="17" t="s">
        <v>33</v>
      </c>
      <c r="D23" s="18" t="s">
        <v>34</v>
      </c>
      <c r="E23" s="19">
        <v>21</v>
      </c>
      <c r="F23" s="9"/>
    </row>
    <row r="24" spans="1:6" ht="22.05" customHeight="1" x14ac:dyDescent="0.3">
      <c r="A24" s="10"/>
      <c r="B24" s="20" t="s">
        <v>35</v>
      </c>
      <c r="C24" s="21" t="s">
        <v>36</v>
      </c>
      <c r="D24" s="22" t="s">
        <v>34</v>
      </c>
      <c r="E24" s="23">
        <v>12</v>
      </c>
      <c r="F24" s="12"/>
    </row>
    <row r="25" spans="1:6" ht="22.05" customHeight="1" x14ac:dyDescent="0.3">
      <c r="A25" s="7"/>
      <c r="B25" s="16" t="s">
        <v>37</v>
      </c>
      <c r="C25" s="17" t="s">
        <v>33</v>
      </c>
      <c r="D25" s="18" t="s">
        <v>38</v>
      </c>
      <c r="E25" s="19">
        <v>18</v>
      </c>
      <c r="F25" s="9"/>
    </row>
    <row r="26" spans="1:6" ht="22.05" customHeight="1" x14ac:dyDescent="0.3">
      <c r="A26" s="10"/>
      <c r="B26" s="20" t="s">
        <v>39</v>
      </c>
      <c r="C26" s="21" t="s">
        <v>36</v>
      </c>
      <c r="D26" s="22" t="s">
        <v>38</v>
      </c>
      <c r="E26" s="23">
        <v>24</v>
      </c>
      <c r="F26" s="12"/>
    </row>
    <row r="27" spans="1:6" ht="22.05" customHeight="1" x14ac:dyDescent="0.3">
      <c r="A27" s="7"/>
      <c r="B27" s="16" t="s">
        <v>40</v>
      </c>
      <c r="C27" s="17" t="s">
        <v>41</v>
      </c>
      <c r="D27" s="18" t="s">
        <v>42</v>
      </c>
      <c r="E27" s="19">
        <v>15</v>
      </c>
      <c r="F27" s="9"/>
    </row>
    <row r="28" spans="1:6" ht="7.95" customHeight="1" x14ac:dyDescent="0.3"/>
    <row r="29" spans="1:6" ht="3" customHeight="1" x14ac:dyDescent="0.3">
      <c r="A29" s="1"/>
      <c r="B29" s="1"/>
      <c r="C29" s="1"/>
      <c r="D29" s="1"/>
      <c r="E29" s="1"/>
      <c r="F29" s="1"/>
    </row>
    <row r="30" spans="1:6" ht="19.95" customHeight="1" x14ac:dyDescent="0.3">
      <c r="A30" s="67" t="s">
        <v>43</v>
      </c>
      <c r="B30" s="60"/>
      <c r="C30" s="60"/>
      <c r="D30" s="60"/>
      <c r="E30" s="60"/>
      <c r="F30" s="60"/>
    </row>
  </sheetData>
  <mergeCells count="18">
    <mergeCell ref="B3:E3"/>
    <mergeCell ref="B5:E5"/>
    <mergeCell ref="B2:E2"/>
    <mergeCell ref="C7:E7"/>
    <mergeCell ref="A30:F30"/>
    <mergeCell ref="C12:E12"/>
    <mergeCell ref="C6:E6"/>
    <mergeCell ref="C10:E10"/>
    <mergeCell ref="C8:E8"/>
    <mergeCell ref="C9:E9"/>
    <mergeCell ref="B15:E15"/>
    <mergeCell ref="C18:E18"/>
    <mergeCell ref="C17:E17"/>
    <mergeCell ref="C16:E16"/>
    <mergeCell ref="C11:E11"/>
    <mergeCell ref="C13:E13"/>
    <mergeCell ref="C19:E19"/>
    <mergeCell ref="B21:E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162"/>
  <sheetViews>
    <sheetView showGridLines="0" tabSelected="1" topLeftCell="A128" workbookViewId="0">
      <selection activeCell="I29" sqref="I29"/>
    </sheetView>
  </sheetViews>
  <sheetFormatPr defaultRowHeight="14.4" x14ac:dyDescent="0.3"/>
  <cols>
    <col min="1" max="1" width="8" customWidth="1"/>
    <col min="2" max="2" width="10" customWidth="1"/>
    <col min="3" max="3" width="59" customWidth="1"/>
    <col min="4" max="8" width="9" customWidth="1"/>
    <col min="9" max="9" width="17" customWidth="1"/>
    <col min="10" max="10" width="24" customWidth="1"/>
    <col min="11" max="11" width="20" customWidth="1"/>
    <col min="12" max="13" width="21" customWidth="1"/>
    <col min="14" max="14" width="17" customWidth="1"/>
    <col min="15" max="15" width="13" customWidth="1"/>
    <col min="16" max="16" width="8" customWidth="1"/>
    <col min="17" max="17" width="20" customWidth="1"/>
    <col min="18" max="18" width="19" customWidth="1"/>
    <col min="19" max="19" width="8" customWidth="1"/>
    <col min="20" max="20" width="16" customWidth="1"/>
    <col min="21" max="21" width="17" customWidth="1"/>
    <col min="22" max="22" width="18" customWidth="1"/>
    <col min="23" max="24" width="16" customWidth="1"/>
    <col min="25" max="25" width="18" customWidth="1"/>
    <col min="26" max="27" width="16" customWidth="1"/>
    <col min="28" max="28" width="13" customWidth="1"/>
    <col min="29" max="29" width="228" customWidth="1"/>
    <col min="30" max="31" width="3.44140625" customWidth="1"/>
  </cols>
  <sheetData>
    <row r="1" spans="1:31" ht="30" customHeight="1" x14ac:dyDescent="0.3">
      <c r="A1" s="69" t="s">
        <v>44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24"/>
      <c r="AE1" s="24"/>
    </row>
    <row r="2" spans="1:31" ht="24" customHeight="1" x14ac:dyDescent="0.3">
      <c r="A2" s="25"/>
      <c r="B2" s="25"/>
      <c r="C2" s="26"/>
      <c r="D2" s="25"/>
      <c r="E2" s="25"/>
      <c r="F2" s="25"/>
      <c r="G2" s="25"/>
      <c r="H2" s="27">
        <v>58</v>
      </c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4"/>
      <c r="AE2" s="24"/>
    </row>
    <row r="3" spans="1:31" ht="31.95" customHeight="1" x14ac:dyDescent="0.3">
      <c r="A3" s="28"/>
      <c r="B3" s="29" t="s">
        <v>45</v>
      </c>
      <c r="C3" s="30" t="s">
        <v>46</v>
      </c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31" t="s">
        <v>47</v>
      </c>
      <c r="AD3" s="24"/>
      <c r="AE3" s="24"/>
    </row>
    <row r="4" spans="1:31" ht="60" customHeight="1" x14ac:dyDescent="0.3">
      <c r="A4" s="32"/>
      <c r="B4" s="32" t="s">
        <v>48</v>
      </c>
      <c r="C4" s="32" t="s">
        <v>30</v>
      </c>
      <c r="D4" s="32" t="s">
        <v>49</v>
      </c>
      <c r="E4" s="32" t="s">
        <v>50</v>
      </c>
      <c r="F4" s="32" t="s">
        <v>51</v>
      </c>
      <c r="G4" s="32" t="s">
        <v>52</v>
      </c>
      <c r="H4" s="32" t="s">
        <v>53</v>
      </c>
      <c r="I4" s="32" t="s">
        <v>54</v>
      </c>
      <c r="J4" s="32" t="s">
        <v>55</v>
      </c>
      <c r="K4" s="32" t="s">
        <v>56</v>
      </c>
      <c r="L4" s="32" t="s">
        <v>57</v>
      </c>
      <c r="M4" s="32" t="s">
        <v>58</v>
      </c>
      <c r="N4" s="32" t="s">
        <v>59</v>
      </c>
      <c r="O4" s="32" t="s">
        <v>60</v>
      </c>
      <c r="P4" s="33"/>
      <c r="Q4" s="32" t="s">
        <v>61</v>
      </c>
      <c r="R4" s="32" t="s">
        <v>62</v>
      </c>
      <c r="S4" s="33"/>
      <c r="T4" s="32" t="s">
        <v>63</v>
      </c>
      <c r="U4" s="32" t="s">
        <v>64</v>
      </c>
      <c r="V4" s="32" t="s">
        <v>65</v>
      </c>
      <c r="W4" s="32" t="s">
        <v>66</v>
      </c>
      <c r="X4" s="32" t="s">
        <v>67</v>
      </c>
      <c r="Y4" s="32" t="s">
        <v>68</v>
      </c>
      <c r="Z4" s="32" t="s">
        <v>69</v>
      </c>
      <c r="AA4" s="32" t="s">
        <v>70</v>
      </c>
      <c r="AB4" s="32" t="s">
        <v>71</v>
      </c>
      <c r="AC4" s="32" t="s">
        <v>72</v>
      </c>
      <c r="AD4" s="24"/>
      <c r="AE4" s="24"/>
    </row>
    <row r="5" spans="1:31" ht="16.05" customHeight="1" x14ac:dyDescent="0.3">
      <c r="A5" s="34"/>
      <c r="B5" s="34"/>
      <c r="C5" s="35" t="s">
        <v>73</v>
      </c>
      <c r="D5" s="34"/>
      <c r="E5" s="34"/>
      <c r="F5" s="36">
        <v>2.0699999999999998</v>
      </c>
      <c r="G5" s="36"/>
      <c r="H5" s="36">
        <v>1</v>
      </c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24"/>
      <c r="AE5" s="24"/>
    </row>
    <row r="6" spans="1:31" ht="16.05" customHeight="1" x14ac:dyDescent="0.3">
      <c r="A6" s="37"/>
      <c r="B6" s="38" t="s">
        <v>74</v>
      </c>
      <c r="C6" s="39" t="s">
        <v>75</v>
      </c>
      <c r="D6" s="38" t="s">
        <v>76</v>
      </c>
      <c r="E6" s="38">
        <v>1</v>
      </c>
      <c r="F6" s="38">
        <v>2.0699999999999998</v>
      </c>
      <c r="G6" s="38"/>
      <c r="H6" s="38">
        <v>1</v>
      </c>
      <c r="I6" s="38"/>
      <c r="J6" s="38"/>
      <c r="K6" s="40">
        <f>I6</f>
        <v>0</v>
      </c>
      <c r="L6" s="38"/>
      <c r="M6" s="38"/>
      <c r="N6" s="38"/>
      <c r="O6" s="38"/>
      <c r="P6" s="41"/>
      <c r="Q6" s="38"/>
      <c r="R6" s="38"/>
      <c r="S6" s="41"/>
      <c r="T6" s="38"/>
      <c r="U6" s="38"/>
      <c r="V6" s="38"/>
      <c r="W6" s="38"/>
      <c r="X6" s="38"/>
      <c r="Y6" s="38"/>
      <c r="Z6" s="38"/>
      <c r="AA6" s="38"/>
      <c r="AB6" s="38"/>
      <c r="AC6" s="42"/>
      <c r="AD6" s="24"/>
      <c r="AE6" s="24"/>
    </row>
    <row r="7" spans="1:31" ht="16.05" customHeight="1" x14ac:dyDescent="0.3">
      <c r="A7" s="43"/>
      <c r="B7" s="44" t="s">
        <v>77</v>
      </c>
      <c r="C7" s="45" t="s">
        <v>78</v>
      </c>
      <c r="D7" s="44" t="s">
        <v>76</v>
      </c>
      <c r="E7" s="44">
        <v>1</v>
      </c>
      <c r="F7" s="44">
        <v>2.0699999999999998</v>
      </c>
      <c r="G7" s="44">
        <v>0.38</v>
      </c>
      <c r="H7" s="44"/>
      <c r="I7" s="44"/>
      <c r="J7" s="44"/>
      <c r="K7" s="44"/>
      <c r="L7" s="44"/>
      <c r="M7" s="40">
        <f>I7</f>
        <v>0</v>
      </c>
      <c r="N7" s="44"/>
      <c r="O7" s="44"/>
      <c r="P7" s="41"/>
      <c r="Q7" s="44"/>
      <c r="R7" s="44"/>
      <c r="S7" s="41"/>
      <c r="T7" s="44"/>
      <c r="U7" s="44"/>
      <c r="V7" s="44"/>
      <c r="W7" s="44"/>
      <c r="X7" s="44"/>
      <c r="Y7" s="44"/>
      <c r="Z7" s="44"/>
      <c r="AA7" s="44"/>
      <c r="AB7" s="44"/>
      <c r="AC7" s="46"/>
      <c r="AD7" s="24"/>
      <c r="AE7" s="24"/>
    </row>
    <row r="8" spans="1:31" ht="16.05" customHeight="1" x14ac:dyDescent="0.3">
      <c r="A8" s="37"/>
      <c r="B8" s="38" t="s">
        <v>79</v>
      </c>
      <c r="C8" s="39" t="s">
        <v>80</v>
      </c>
      <c r="D8" s="38" t="s">
        <v>76</v>
      </c>
      <c r="E8" s="38">
        <v>1</v>
      </c>
      <c r="F8" s="38">
        <v>2.0699999999999998</v>
      </c>
      <c r="G8" s="38">
        <v>0.38</v>
      </c>
      <c r="H8" s="38"/>
      <c r="I8" s="38"/>
      <c r="J8" s="38"/>
      <c r="K8" s="38"/>
      <c r="L8" s="38"/>
      <c r="M8" s="40">
        <f>I8</f>
        <v>0</v>
      </c>
      <c r="N8" s="38"/>
      <c r="O8" s="38"/>
      <c r="P8" s="41"/>
      <c r="Q8" s="38"/>
      <c r="R8" s="38"/>
      <c r="S8" s="41"/>
      <c r="T8" s="38"/>
      <c r="U8" s="38"/>
      <c r="V8" s="38"/>
      <c r="W8" s="38"/>
      <c r="X8" s="38"/>
      <c r="Y8" s="38"/>
      <c r="Z8" s="38"/>
      <c r="AA8" s="38"/>
      <c r="AB8" s="38"/>
      <c r="AC8" s="42"/>
      <c r="AD8" s="24"/>
      <c r="AE8" s="24"/>
    </row>
    <row r="9" spans="1:31" ht="16.05" customHeight="1" x14ac:dyDescent="0.3">
      <c r="A9" s="43"/>
      <c r="B9" s="44" t="s">
        <v>81</v>
      </c>
      <c r="C9" s="45" t="s">
        <v>82</v>
      </c>
      <c r="D9" s="44" t="s">
        <v>76</v>
      </c>
      <c r="E9" s="44">
        <v>2</v>
      </c>
      <c r="F9" s="44"/>
      <c r="G9" s="44">
        <v>0.38</v>
      </c>
      <c r="H9" s="44">
        <v>1</v>
      </c>
      <c r="I9" s="44"/>
      <c r="J9" s="44"/>
      <c r="K9" s="44"/>
      <c r="L9" s="44"/>
      <c r="M9" s="40">
        <f>I9</f>
        <v>0</v>
      </c>
      <c r="N9" s="44"/>
      <c r="O9" s="44"/>
      <c r="P9" s="41"/>
      <c r="Q9" s="44"/>
      <c r="R9" s="44"/>
      <c r="S9" s="41"/>
      <c r="T9" s="44"/>
      <c r="U9" s="44"/>
      <c r="V9" s="44"/>
      <c r="W9" s="44"/>
      <c r="X9" s="44"/>
      <c r="Y9" s="44"/>
      <c r="Z9" s="44"/>
      <c r="AA9" s="44"/>
      <c r="AB9" s="44"/>
      <c r="AC9" s="46"/>
      <c r="AD9" s="24"/>
      <c r="AE9" s="24"/>
    </row>
    <row r="10" spans="1:31" ht="16.05" customHeight="1" x14ac:dyDescent="0.3">
      <c r="A10" s="37"/>
      <c r="B10" s="38" t="s">
        <v>83</v>
      </c>
      <c r="C10" s="39" t="s">
        <v>84</v>
      </c>
      <c r="D10" s="38" t="s">
        <v>76</v>
      </c>
      <c r="E10" s="38">
        <v>8</v>
      </c>
      <c r="F10" s="38"/>
      <c r="G10" s="38">
        <v>0.38</v>
      </c>
      <c r="H10" s="38">
        <v>1</v>
      </c>
      <c r="I10" s="38"/>
      <c r="J10" s="38"/>
      <c r="K10" s="38"/>
      <c r="L10" s="38"/>
      <c r="M10" s="40">
        <f>I10</f>
        <v>0</v>
      </c>
      <c r="N10" s="38"/>
      <c r="O10" s="38"/>
      <c r="P10" s="41"/>
      <c r="Q10" s="38"/>
      <c r="R10" s="38"/>
      <c r="S10" s="41"/>
      <c r="T10" s="38"/>
      <c r="U10" s="38"/>
      <c r="V10" s="38"/>
      <c r="W10" s="38"/>
      <c r="X10" s="38"/>
      <c r="Y10" s="38"/>
      <c r="Z10" s="38"/>
      <c r="AA10" s="38"/>
      <c r="AB10" s="38"/>
      <c r="AC10" s="42"/>
      <c r="AD10" s="24"/>
      <c r="AE10" s="24"/>
    </row>
    <row r="11" spans="1:31" ht="16.05" customHeight="1" x14ac:dyDescent="0.3">
      <c r="A11" s="43"/>
      <c r="B11" s="44" t="s">
        <v>85</v>
      </c>
      <c r="C11" s="45" t="s">
        <v>86</v>
      </c>
      <c r="D11" s="44" t="s">
        <v>76</v>
      </c>
      <c r="E11" s="44">
        <v>9</v>
      </c>
      <c r="F11" s="44">
        <v>0.6</v>
      </c>
      <c r="G11" s="44">
        <v>0.38</v>
      </c>
      <c r="H11" s="44"/>
      <c r="I11" s="44"/>
      <c r="J11" s="44"/>
      <c r="K11" s="44"/>
      <c r="L11" s="44"/>
      <c r="M11" s="40">
        <f>I11</f>
        <v>0</v>
      </c>
      <c r="N11" s="44"/>
      <c r="O11" s="44"/>
      <c r="P11" s="41"/>
      <c r="Q11" s="44"/>
      <c r="R11" s="44"/>
      <c r="S11" s="41"/>
      <c r="T11" s="44"/>
      <c r="U11" s="44"/>
      <c r="V11" s="44"/>
      <c r="W11" s="44"/>
      <c r="X11" s="44"/>
      <c r="Y11" s="44"/>
      <c r="Z11" s="44"/>
      <c r="AA11" s="44"/>
      <c r="AB11" s="44"/>
      <c r="AC11" s="46"/>
      <c r="AD11" s="24"/>
      <c r="AE11" s="24"/>
    </row>
    <row r="12" spans="1:31" ht="16.05" customHeight="1" x14ac:dyDescent="0.3">
      <c r="A12" s="37"/>
      <c r="B12" s="38" t="s">
        <v>87</v>
      </c>
      <c r="C12" s="39" t="s">
        <v>88</v>
      </c>
      <c r="D12" s="38" t="s">
        <v>89</v>
      </c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41"/>
      <c r="Q12" s="38"/>
      <c r="R12" s="38"/>
      <c r="S12" s="41"/>
      <c r="T12" s="38"/>
      <c r="U12" s="38"/>
      <c r="V12" s="40">
        <v>14.14</v>
      </c>
      <c r="W12" s="38"/>
      <c r="X12" s="38"/>
      <c r="Y12" s="38"/>
      <c r="Z12" s="38"/>
      <c r="AA12" s="38"/>
      <c r="AB12" s="38"/>
      <c r="AC12" s="42" t="s">
        <v>90</v>
      </c>
      <c r="AD12" s="24"/>
      <c r="AE12" s="24"/>
    </row>
    <row r="13" spans="1:31" ht="16.05" customHeight="1" x14ac:dyDescent="0.3">
      <c r="A13" s="34"/>
      <c r="B13" s="34"/>
      <c r="C13" s="35" t="s">
        <v>91</v>
      </c>
      <c r="D13" s="34"/>
      <c r="E13" s="34"/>
      <c r="F13" s="36">
        <v>2.0699999999999998</v>
      </c>
      <c r="G13" s="36"/>
      <c r="H13" s="36">
        <v>1</v>
      </c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24"/>
      <c r="AE13" s="24"/>
    </row>
    <row r="14" spans="1:31" ht="16.05" customHeight="1" x14ac:dyDescent="0.3">
      <c r="A14" s="37"/>
      <c r="B14" s="38" t="s">
        <v>92</v>
      </c>
      <c r="C14" s="39" t="s">
        <v>93</v>
      </c>
      <c r="D14" s="38" t="s">
        <v>76</v>
      </c>
      <c r="E14" s="38">
        <v>1</v>
      </c>
      <c r="F14" s="38">
        <v>2.0699999999999998</v>
      </c>
      <c r="G14" s="38"/>
      <c r="H14" s="38">
        <v>1</v>
      </c>
      <c r="I14" s="38"/>
      <c r="J14" s="38"/>
      <c r="K14" s="38"/>
      <c r="L14" s="38"/>
      <c r="M14" s="38"/>
      <c r="N14" s="40">
        <f>I14</f>
        <v>0</v>
      </c>
      <c r="O14" s="38"/>
      <c r="P14" s="41"/>
      <c r="Q14" s="38"/>
      <c r="R14" s="38"/>
      <c r="S14" s="41"/>
      <c r="T14" s="38"/>
      <c r="U14" s="38"/>
      <c r="V14" s="38"/>
      <c r="W14" s="38"/>
      <c r="X14" s="38"/>
      <c r="Y14" s="38"/>
      <c r="Z14" s="38"/>
      <c r="AA14" s="38"/>
      <c r="AB14" s="38"/>
      <c r="AC14" s="42" t="s">
        <v>94</v>
      </c>
      <c r="AD14" s="24"/>
      <c r="AE14" s="24"/>
    </row>
    <row r="15" spans="1:31" ht="16.05" customHeight="1" x14ac:dyDescent="0.3">
      <c r="A15" s="43"/>
      <c r="B15" s="44" t="s">
        <v>95</v>
      </c>
      <c r="C15" s="45" t="s">
        <v>96</v>
      </c>
      <c r="D15" s="44" t="s">
        <v>89</v>
      </c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1"/>
      <c r="Q15" s="44"/>
      <c r="R15" s="44"/>
      <c r="S15" s="41"/>
      <c r="T15" s="44"/>
      <c r="U15" s="44"/>
      <c r="V15" s="40">
        <v>14.14</v>
      </c>
      <c r="W15" s="44"/>
      <c r="X15" s="44"/>
      <c r="Y15" s="44"/>
      <c r="Z15" s="44"/>
      <c r="AA15" s="44"/>
      <c r="AB15" s="44"/>
      <c r="AC15" s="46" t="s">
        <v>90</v>
      </c>
      <c r="AD15" s="24"/>
      <c r="AE15" s="24"/>
    </row>
    <row r="16" spans="1:31" ht="16.05" customHeight="1" x14ac:dyDescent="0.3">
      <c r="A16" s="34"/>
      <c r="B16" s="34"/>
      <c r="C16" s="35" t="s">
        <v>97</v>
      </c>
      <c r="D16" s="34"/>
      <c r="E16" s="34"/>
      <c r="F16" s="36">
        <v>0.44</v>
      </c>
      <c r="G16" s="36"/>
      <c r="H16" s="36">
        <v>1.45</v>
      </c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24"/>
      <c r="AE16" s="24"/>
    </row>
    <row r="17" spans="1:31" ht="16.05" customHeight="1" x14ac:dyDescent="0.3">
      <c r="A17" s="37"/>
      <c r="B17" s="38" t="s">
        <v>98</v>
      </c>
      <c r="C17" s="39" t="s">
        <v>99</v>
      </c>
      <c r="D17" s="38" t="s">
        <v>76</v>
      </c>
      <c r="E17" s="38">
        <v>1</v>
      </c>
      <c r="F17" s="38">
        <v>0.44</v>
      </c>
      <c r="G17" s="38"/>
      <c r="H17" s="38">
        <v>1.45</v>
      </c>
      <c r="I17" s="38"/>
      <c r="J17" s="38"/>
      <c r="K17" s="40">
        <f>I17</f>
        <v>0</v>
      </c>
      <c r="L17" s="38"/>
      <c r="M17" s="38"/>
      <c r="N17" s="38"/>
      <c r="O17" s="38"/>
      <c r="P17" s="41"/>
      <c r="Q17" s="38"/>
      <c r="R17" s="38"/>
      <c r="S17" s="41"/>
      <c r="T17" s="38"/>
      <c r="U17" s="38"/>
      <c r="V17" s="38"/>
      <c r="W17" s="38"/>
      <c r="X17" s="38"/>
      <c r="Y17" s="38"/>
      <c r="Z17" s="38"/>
      <c r="AA17" s="38"/>
      <c r="AB17" s="38"/>
      <c r="AC17" s="42" t="s">
        <v>100</v>
      </c>
      <c r="AD17" s="24"/>
      <c r="AE17" s="24"/>
    </row>
    <row r="18" spans="1:31" ht="16.05" customHeight="1" x14ac:dyDescent="0.3">
      <c r="A18" s="43"/>
      <c r="B18" s="44" t="s">
        <v>101</v>
      </c>
      <c r="C18" s="45" t="s">
        <v>102</v>
      </c>
      <c r="D18" s="44" t="s">
        <v>76</v>
      </c>
      <c r="E18" s="44">
        <v>1</v>
      </c>
      <c r="F18" s="44">
        <v>0.44</v>
      </c>
      <c r="G18" s="44">
        <v>0.38</v>
      </c>
      <c r="H18" s="44"/>
      <c r="I18" s="44"/>
      <c r="J18" s="44"/>
      <c r="K18" s="44"/>
      <c r="L18" s="44"/>
      <c r="M18" s="40">
        <f>I18</f>
        <v>0</v>
      </c>
      <c r="N18" s="44"/>
      <c r="O18" s="44"/>
      <c r="P18" s="41"/>
      <c r="Q18" s="44"/>
      <c r="R18" s="44"/>
      <c r="S18" s="41"/>
      <c r="T18" s="44"/>
      <c r="U18" s="44"/>
      <c r="V18" s="44"/>
      <c r="W18" s="44"/>
      <c r="X18" s="44"/>
      <c r="Y18" s="44"/>
      <c r="Z18" s="44"/>
      <c r="AA18" s="44"/>
      <c r="AB18" s="44"/>
      <c r="AC18" s="46"/>
      <c r="AD18" s="24"/>
      <c r="AE18" s="24"/>
    </row>
    <row r="19" spans="1:31" ht="16.05" customHeight="1" x14ac:dyDescent="0.3">
      <c r="A19" s="37"/>
      <c r="B19" s="38" t="s">
        <v>103</v>
      </c>
      <c r="C19" s="39" t="s">
        <v>104</v>
      </c>
      <c r="D19" s="38" t="s">
        <v>76</v>
      </c>
      <c r="E19" s="38">
        <v>1</v>
      </c>
      <c r="F19" s="38">
        <v>0.44</v>
      </c>
      <c r="G19" s="38">
        <v>0.38</v>
      </c>
      <c r="H19" s="38"/>
      <c r="I19" s="38"/>
      <c r="J19" s="38"/>
      <c r="K19" s="38"/>
      <c r="L19" s="38"/>
      <c r="M19" s="40">
        <f>I19</f>
        <v>0</v>
      </c>
      <c r="N19" s="38"/>
      <c r="O19" s="38"/>
      <c r="P19" s="41"/>
      <c r="Q19" s="38"/>
      <c r="R19" s="38"/>
      <c r="S19" s="41"/>
      <c r="T19" s="38"/>
      <c r="U19" s="38"/>
      <c r="V19" s="38"/>
      <c r="W19" s="38"/>
      <c r="X19" s="38"/>
      <c r="Y19" s="38"/>
      <c r="Z19" s="38"/>
      <c r="AA19" s="38"/>
      <c r="AB19" s="38"/>
      <c r="AC19" s="42"/>
      <c r="AD19" s="24"/>
      <c r="AE19" s="24"/>
    </row>
    <row r="20" spans="1:31" ht="16.05" customHeight="1" x14ac:dyDescent="0.3">
      <c r="A20" s="43"/>
      <c r="B20" s="44" t="s">
        <v>105</v>
      </c>
      <c r="C20" s="45" t="s">
        <v>106</v>
      </c>
      <c r="D20" s="44" t="s">
        <v>76</v>
      </c>
      <c r="E20" s="44">
        <v>2</v>
      </c>
      <c r="F20" s="44"/>
      <c r="G20" s="44">
        <v>0.38</v>
      </c>
      <c r="H20" s="44">
        <v>1.45</v>
      </c>
      <c r="I20" s="44"/>
      <c r="J20" s="44"/>
      <c r="K20" s="44"/>
      <c r="L20" s="44"/>
      <c r="M20" s="40">
        <f>I20</f>
        <v>0</v>
      </c>
      <c r="N20" s="44"/>
      <c r="O20" s="44"/>
      <c r="P20" s="41"/>
      <c r="Q20" s="44"/>
      <c r="R20" s="44"/>
      <c r="S20" s="41"/>
      <c r="T20" s="44"/>
      <c r="U20" s="44"/>
      <c r="V20" s="44"/>
      <c r="W20" s="44"/>
      <c r="X20" s="44"/>
      <c r="Y20" s="44"/>
      <c r="Z20" s="44"/>
      <c r="AA20" s="44"/>
      <c r="AB20" s="44"/>
      <c r="AC20" s="46"/>
      <c r="AD20" s="24"/>
      <c r="AE20" s="24"/>
    </row>
    <row r="21" spans="1:31" ht="16.05" customHeight="1" x14ac:dyDescent="0.3">
      <c r="A21" s="37"/>
      <c r="B21" s="38" t="s">
        <v>107</v>
      </c>
      <c r="C21" s="39" t="s">
        <v>108</v>
      </c>
      <c r="D21" s="38" t="s">
        <v>76</v>
      </c>
      <c r="E21" s="38">
        <v>8</v>
      </c>
      <c r="F21" s="38"/>
      <c r="G21" s="38">
        <v>0.38</v>
      </c>
      <c r="H21" s="38">
        <v>1.45</v>
      </c>
      <c r="I21" s="38"/>
      <c r="J21" s="38"/>
      <c r="K21" s="38"/>
      <c r="L21" s="38"/>
      <c r="M21" s="40">
        <f>I21</f>
        <v>0</v>
      </c>
      <c r="N21" s="38"/>
      <c r="O21" s="38"/>
      <c r="P21" s="41"/>
      <c r="Q21" s="38"/>
      <c r="R21" s="38"/>
      <c r="S21" s="41"/>
      <c r="T21" s="38"/>
      <c r="U21" s="38"/>
      <c r="V21" s="38"/>
      <c r="W21" s="38"/>
      <c r="X21" s="38"/>
      <c r="Y21" s="38"/>
      <c r="Z21" s="38"/>
      <c r="AA21" s="38"/>
      <c r="AB21" s="38"/>
      <c r="AC21" s="42"/>
      <c r="AD21" s="24"/>
      <c r="AE21" s="24"/>
    </row>
    <row r="22" spans="1:31" ht="16.05" customHeight="1" x14ac:dyDescent="0.3">
      <c r="A22" s="43"/>
      <c r="B22" s="44" t="s">
        <v>109</v>
      </c>
      <c r="C22" s="45" t="s">
        <v>110</v>
      </c>
      <c r="D22" s="44" t="s">
        <v>76</v>
      </c>
      <c r="E22" s="44">
        <v>3</v>
      </c>
      <c r="F22" s="44">
        <v>0.44</v>
      </c>
      <c r="G22" s="44">
        <v>0.38</v>
      </c>
      <c r="H22" s="44"/>
      <c r="I22" s="44"/>
      <c r="J22" s="44"/>
      <c r="K22" s="44"/>
      <c r="L22" s="44"/>
      <c r="M22" s="40">
        <f>I22</f>
        <v>0</v>
      </c>
      <c r="N22" s="44"/>
      <c r="O22" s="44"/>
      <c r="P22" s="41"/>
      <c r="Q22" s="44"/>
      <c r="R22" s="44"/>
      <c r="S22" s="41"/>
      <c r="T22" s="44"/>
      <c r="U22" s="44"/>
      <c r="V22" s="44"/>
      <c r="W22" s="44"/>
      <c r="X22" s="44"/>
      <c r="Y22" s="44"/>
      <c r="Z22" s="44"/>
      <c r="AA22" s="44"/>
      <c r="AB22" s="44"/>
      <c r="AC22" s="46"/>
      <c r="AD22" s="24"/>
      <c r="AE22" s="24"/>
    </row>
    <row r="23" spans="1:31" ht="16.05" customHeight="1" x14ac:dyDescent="0.3">
      <c r="A23" s="37"/>
      <c r="B23" s="38" t="s">
        <v>111</v>
      </c>
      <c r="C23" s="39" t="s">
        <v>112</v>
      </c>
      <c r="D23" s="38" t="s">
        <v>89</v>
      </c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41"/>
      <c r="Q23" s="38"/>
      <c r="R23" s="38"/>
      <c r="S23" s="41"/>
      <c r="T23" s="38"/>
      <c r="U23" s="38"/>
      <c r="V23" s="40">
        <v>24.72</v>
      </c>
      <c r="W23" s="38"/>
      <c r="X23" s="38"/>
      <c r="Y23" s="38"/>
      <c r="Z23" s="38"/>
      <c r="AA23" s="38"/>
      <c r="AB23" s="38"/>
      <c r="AC23" s="42" t="s">
        <v>113</v>
      </c>
      <c r="AD23" s="24"/>
      <c r="AE23" s="24"/>
    </row>
    <row r="24" spans="1:31" ht="16.05" customHeight="1" x14ac:dyDescent="0.3">
      <c r="A24" s="34"/>
      <c r="B24" s="34"/>
      <c r="C24" s="35" t="s">
        <v>114</v>
      </c>
      <c r="D24" s="34"/>
      <c r="E24" s="34"/>
      <c r="F24" s="36">
        <v>0.44</v>
      </c>
      <c r="G24" s="36"/>
      <c r="H24" s="36">
        <v>1.45</v>
      </c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24"/>
      <c r="AE24" s="24"/>
    </row>
    <row r="25" spans="1:31" ht="16.05" customHeight="1" x14ac:dyDescent="0.3">
      <c r="A25" s="37"/>
      <c r="B25" s="38" t="s">
        <v>115</v>
      </c>
      <c r="C25" s="39" t="s">
        <v>116</v>
      </c>
      <c r="D25" s="38" t="s">
        <v>76</v>
      </c>
      <c r="E25" s="38">
        <v>1</v>
      </c>
      <c r="F25" s="38">
        <v>0.44</v>
      </c>
      <c r="G25" s="38"/>
      <c r="H25" s="38">
        <v>1.45</v>
      </c>
      <c r="I25" s="38"/>
      <c r="J25" s="38"/>
      <c r="K25" s="38"/>
      <c r="L25" s="38"/>
      <c r="M25" s="38"/>
      <c r="N25" s="40">
        <f>I25</f>
        <v>0</v>
      </c>
      <c r="O25" s="38"/>
      <c r="P25" s="41"/>
      <c r="Q25" s="38"/>
      <c r="R25" s="38"/>
      <c r="S25" s="41"/>
      <c r="T25" s="38"/>
      <c r="U25" s="38"/>
      <c r="V25" s="38"/>
      <c r="W25" s="38"/>
      <c r="X25" s="38"/>
      <c r="Y25" s="38"/>
      <c r="Z25" s="38"/>
      <c r="AA25" s="38"/>
      <c r="AB25" s="38"/>
      <c r="AC25" s="42" t="s">
        <v>117</v>
      </c>
      <c r="AD25" s="24"/>
      <c r="AE25" s="24"/>
    </row>
    <row r="26" spans="1:31" ht="16.05" customHeight="1" x14ac:dyDescent="0.3">
      <c r="A26" s="43"/>
      <c r="B26" s="44" t="s">
        <v>118</v>
      </c>
      <c r="C26" s="45" t="s">
        <v>119</v>
      </c>
      <c r="D26" s="44" t="s">
        <v>89</v>
      </c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1"/>
      <c r="Q26" s="44"/>
      <c r="R26" s="44"/>
      <c r="S26" s="41"/>
      <c r="T26" s="44"/>
      <c r="U26" s="44"/>
      <c r="V26" s="40">
        <v>3.78</v>
      </c>
      <c r="W26" s="44"/>
      <c r="X26" s="44"/>
      <c r="Y26" s="44"/>
      <c r="Z26" s="44"/>
      <c r="AA26" s="44"/>
      <c r="AB26" s="44"/>
      <c r="AC26" s="46" t="s">
        <v>120</v>
      </c>
      <c r="AD26" s="24"/>
      <c r="AE26" s="24"/>
    </row>
    <row r="27" spans="1:31" ht="16.05" customHeight="1" x14ac:dyDescent="0.3">
      <c r="A27" s="34"/>
      <c r="B27" s="34"/>
      <c r="C27" s="35" t="s">
        <v>121</v>
      </c>
      <c r="D27" s="34"/>
      <c r="E27" s="34"/>
      <c r="F27" s="36">
        <v>0.65</v>
      </c>
      <c r="G27" s="36"/>
      <c r="H27" s="36">
        <v>2.7</v>
      </c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24"/>
      <c r="AE27" s="24"/>
    </row>
    <row r="28" spans="1:31" ht="16.05" customHeight="1" x14ac:dyDescent="0.3">
      <c r="A28" s="37"/>
      <c r="B28" s="38" t="s">
        <v>122</v>
      </c>
      <c r="C28" s="39" t="s">
        <v>123</v>
      </c>
      <c r="D28" s="38" t="s">
        <v>76</v>
      </c>
      <c r="E28" s="38"/>
      <c r="F28" s="38">
        <v>0.65</v>
      </c>
      <c r="G28" s="38"/>
      <c r="H28" s="38">
        <v>2.7</v>
      </c>
      <c r="I28" s="38"/>
      <c r="J28" s="38"/>
      <c r="K28" s="38"/>
      <c r="L28" s="38"/>
      <c r="M28" s="38"/>
      <c r="N28" s="38"/>
      <c r="O28" s="38"/>
      <c r="P28" s="41"/>
      <c r="Q28" s="40">
        <f>I28</f>
        <v>0</v>
      </c>
      <c r="R28" s="40">
        <f>I28</f>
        <v>0</v>
      </c>
      <c r="S28" s="41"/>
      <c r="T28" s="38"/>
      <c r="U28" s="38"/>
      <c r="V28" s="38"/>
      <c r="W28" s="38"/>
      <c r="X28" s="38"/>
      <c r="Y28" s="38"/>
      <c r="Z28" s="38"/>
      <c r="AA28" s="38"/>
      <c r="AB28" s="38"/>
      <c r="AC28" s="42" t="s">
        <v>124</v>
      </c>
      <c r="AD28" s="24"/>
      <c r="AE28" s="24"/>
    </row>
    <row r="29" spans="1:31" ht="16.05" customHeight="1" x14ac:dyDescent="0.3">
      <c r="A29" s="43"/>
      <c r="B29" s="44" t="s">
        <v>125</v>
      </c>
      <c r="C29" s="45" t="s">
        <v>126</v>
      </c>
      <c r="D29" s="44" t="s">
        <v>89</v>
      </c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1"/>
      <c r="Q29" s="44"/>
      <c r="R29" s="44"/>
      <c r="S29" s="41"/>
      <c r="T29" s="44"/>
      <c r="U29" s="44"/>
      <c r="V29" s="44"/>
      <c r="W29" s="40">
        <v>3.35</v>
      </c>
      <c r="X29" s="44"/>
      <c r="Y29" s="44"/>
      <c r="Z29" s="44"/>
      <c r="AA29" s="44"/>
      <c r="AB29" s="44"/>
      <c r="AC29" s="46" t="s">
        <v>127</v>
      </c>
      <c r="AD29" s="24"/>
      <c r="AE29" s="24"/>
    </row>
    <row r="30" spans="1:31" ht="16.05" customHeight="1" x14ac:dyDescent="0.3">
      <c r="A30" s="34"/>
      <c r="B30" s="34"/>
      <c r="C30" s="35" t="s">
        <v>128</v>
      </c>
      <c r="D30" s="34"/>
      <c r="E30" s="34"/>
      <c r="F30" s="36"/>
      <c r="G30" s="36"/>
      <c r="H30" s="36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24"/>
      <c r="AE30" s="24"/>
    </row>
    <row r="31" spans="1:31" ht="16.05" customHeight="1" x14ac:dyDescent="0.3">
      <c r="A31" s="37"/>
      <c r="B31" s="38" t="s">
        <v>129</v>
      </c>
      <c r="C31" s="39" t="s">
        <v>130</v>
      </c>
      <c r="D31" s="38" t="s">
        <v>131</v>
      </c>
      <c r="E31" s="38">
        <v>12</v>
      </c>
      <c r="F31" s="38"/>
      <c r="G31" s="38"/>
      <c r="H31" s="38"/>
      <c r="I31" s="47">
        <v>12</v>
      </c>
      <c r="J31" s="38"/>
      <c r="K31" s="38"/>
      <c r="L31" s="38"/>
      <c r="M31" s="38"/>
      <c r="N31" s="38"/>
      <c r="O31" s="38"/>
      <c r="P31" s="41"/>
      <c r="Q31" s="38"/>
      <c r="R31" s="38"/>
      <c r="S31" s="41"/>
      <c r="T31" s="40">
        <f>I31</f>
        <v>12</v>
      </c>
      <c r="U31" s="38"/>
      <c r="V31" s="38"/>
      <c r="W31" s="38"/>
      <c r="X31" s="38"/>
      <c r="Y31" s="38"/>
      <c r="Z31" s="38"/>
      <c r="AA31" s="38"/>
      <c r="AB31" s="38"/>
      <c r="AC31" s="42" t="s">
        <v>132</v>
      </c>
      <c r="AD31" s="24"/>
      <c r="AE31" s="24"/>
    </row>
    <row r="32" spans="1:31" ht="19.95" customHeight="1" x14ac:dyDescent="0.3">
      <c r="I32" s="48" t="s">
        <v>133</v>
      </c>
      <c r="J32" s="49">
        <f t="shared" ref="J32:O32" si="0">SUM(J5:J31)</f>
        <v>0</v>
      </c>
      <c r="K32" s="49">
        <f t="shared" si="0"/>
        <v>0</v>
      </c>
      <c r="L32" s="49">
        <f t="shared" si="0"/>
        <v>0</v>
      </c>
      <c r="M32" s="49">
        <f t="shared" si="0"/>
        <v>0</v>
      </c>
      <c r="N32" s="49">
        <f t="shared" si="0"/>
        <v>0</v>
      </c>
      <c r="O32" s="49">
        <f t="shared" si="0"/>
        <v>0</v>
      </c>
      <c r="P32" s="50"/>
      <c r="Q32" s="49">
        <f>SUM(Q5:Q31)</f>
        <v>0</v>
      </c>
      <c r="R32" s="49">
        <f>SUM(R5:R31)</f>
        <v>0</v>
      </c>
      <c r="S32" s="50"/>
      <c r="T32" s="49">
        <f t="shared" ref="T32:AB32" si="1">SUM(T5:T31)</f>
        <v>12</v>
      </c>
      <c r="U32" s="49">
        <f t="shared" si="1"/>
        <v>0</v>
      </c>
      <c r="V32" s="49">
        <f t="shared" si="1"/>
        <v>56.78</v>
      </c>
      <c r="W32" s="49">
        <f t="shared" si="1"/>
        <v>3.35</v>
      </c>
      <c r="X32" s="49">
        <f t="shared" si="1"/>
        <v>0</v>
      </c>
      <c r="Y32" s="49">
        <f t="shared" si="1"/>
        <v>0</v>
      </c>
      <c r="Z32" s="49">
        <f t="shared" si="1"/>
        <v>0</v>
      </c>
      <c r="AA32" s="49">
        <f t="shared" si="1"/>
        <v>0</v>
      </c>
      <c r="AB32" s="49">
        <f t="shared" si="1"/>
        <v>0</v>
      </c>
      <c r="AD32" s="24"/>
      <c r="AE32" s="24"/>
    </row>
    <row r="33" spans="1:31" ht="22.05" customHeight="1" x14ac:dyDescent="0.3">
      <c r="H33" s="51">
        <f>H2</f>
        <v>58</v>
      </c>
      <c r="I33" s="52" t="s">
        <v>134</v>
      </c>
      <c r="J33" s="53">
        <f>J32*H2/2.88</f>
        <v>0</v>
      </c>
      <c r="K33" s="53">
        <f>K32*H2/2.88</f>
        <v>0</v>
      </c>
      <c r="L33" s="53">
        <f>L32*H2/2.88</f>
        <v>0</v>
      </c>
      <c r="M33" s="53">
        <f>M32*H2/2.88</f>
        <v>0</v>
      </c>
      <c r="N33" s="53">
        <f>N32*H2/2.88</f>
        <v>0</v>
      </c>
      <c r="O33" s="53">
        <f>O32*H2/2.88</f>
        <v>0</v>
      </c>
      <c r="P33" s="54"/>
      <c r="Q33" s="53">
        <f>Q32*H2/2.88</f>
        <v>0</v>
      </c>
      <c r="R33" s="53">
        <f>R32*H2/2.88</f>
        <v>0</v>
      </c>
      <c r="S33" s="54"/>
      <c r="T33" s="53">
        <f>T32*H2</f>
        <v>696</v>
      </c>
      <c r="U33" s="53">
        <f>U32*H2</f>
        <v>0</v>
      </c>
      <c r="V33" s="53">
        <f>V32*H2</f>
        <v>3293.2400000000002</v>
      </c>
      <c r="W33" s="53">
        <f>W32*H2</f>
        <v>194.3</v>
      </c>
      <c r="X33" s="53">
        <f>X32*H2</f>
        <v>0</v>
      </c>
      <c r="Y33" s="53">
        <f>Y32*H2</f>
        <v>0</v>
      </c>
      <c r="Z33" s="53">
        <f>Z32*H2</f>
        <v>0</v>
      </c>
      <c r="AA33" s="53">
        <f>AA32*H2</f>
        <v>0</v>
      </c>
      <c r="AB33" s="53">
        <f>AB32*H2</f>
        <v>0</v>
      </c>
      <c r="AD33" s="24"/>
      <c r="AE33" s="24"/>
    </row>
    <row r="34" spans="1:31" ht="10.050000000000001" customHeight="1" x14ac:dyDescent="0.3">
      <c r="AD34" s="24"/>
      <c r="AE34" s="24"/>
    </row>
    <row r="35" spans="1:31" ht="31.95" customHeight="1" x14ac:dyDescent="0.3">
      <c r="A35" s="28"/>
      <c r="B35" s="29" t="s">
        <v>135</v>
      </c>
      <c r="C35" s="30" t="s">
        <v>46</v>
      </c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31" t="s">
        <v>136</v>
      </c>
      <c r="AD35" s="24"/>
      <c r="AE35" s="24"/>
    </row>
    <row r="36" spans="1:31" ht="60" customHeight="1" x14ac:dyDescent="0.3">
      <c r="A36" s="32"/>
      <c r="B36" s="32" t="s">
        <v>48</v>
      </c>
      <c r="C36" s="32" t="s">
        <v>30</v>
      </c>
      <c r="D36" s="32" t="s">
        <v>49</v>
      </c>
      <c r="E36" s="32" t="s">
        <v>50</v>
      </c>
      <c r="F36" s="32" t="s">
        <v>51</v>
      </c>
      <c r="G36" s="32" t="s">
        <v>52</v>
      </c>
      <c r="H36" s="32" t="s">
        <v>53</v>
      </c>
      <c r="I36" s="32" t="s">
        <v>54</v>
      </c>
      <c r="J36" s="32" t="s">
        <v>55</v>
      </c>
      <c r="K36" s="32" t="s">
        <v>56</v>
      </c>
      <c r="L36" s="32" t="s">
        <v>57</v>
      </c>
      <c r="M36" s="32" t="s">
        <v>58</v>
      </c>
      <c r="N36" s="32" t="s">
        <v>59</v>
      </c>
      <c r="O36" s="32" t="s">
        <v>60</v>
      </c>
      <c r="P36" s="33"/>
      <c r="Q36" s="32" t="s">
        <v>61</v>
      </c>
      <c r="R36" s="32" t="s">
        <v>62</v>
      </c>
      <c r="S36" s="33"/>
      <c r="T36" s="32" t="s">
        <v>63</v>
      </c>
      <c r="U36" s="32" t="s">
        <v>64</v>
      </c>
      <c r="V36" s="32" t="s">
        <v>65</v>
      </c>
      <c r="W36" s="32" t="s">
        <v>66</v>
      </c>
      <c r="X36" s="32" t="s">
        <v>67</v>
      </c>
      <c r="Y36" s="32" t="s">
        <v>68</v>
      </c>
      <c r="Z36" s="32" t="s">
        <v>69</v>
      </c>
      <c r="AA36" s="32" t="s">
        <v>70</v>
      </c>
      <c r="AB36" s="32" t="s">
        <v>71</v>
      </c>
      <c r="AC36" s="32" t="s">
        <v>72</v>
      </c>
      <c r="AD36" s="24"/>
      <c r="AE36" s="24"/>
    </row>
    <row r="37" spans="1:31" ht="16.05" customHeight="1" x14ac:dyDescent="0.3">
      <c r="A37" s="34"/>
      <c r="B37" s="34"/>
      <c r="C37" s="35" t="s">
        <v>137</v>
      </c>
      <c r="D37" s="34"/>
      <c r="E37" s="34"/>
      <c r="F37" s="36">
        <v>1.18</v>
      </c>
      <c r="G37" s="36"/>
      <c r="H37" s="36">
        <v>1.75</v>
      </c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24"/>
      <c r="AE37" s="24"/>
    </row>
    <row r="38" spans="1:31" ht="16.05" customHeight="1" x14ac:dyDescent="0.3">
      <c r="A38" s="37"/>
      <c r="B38" s="38" t="s">
        <v>138</v>
      </c>
      <c r="C38" s="39" t="s">
        <v>139</v>
      </c>
      <c r="D38" s="38" t="s">
        <v>76</v>
      </c>
      <c r="E38" s="38">
        <v>1</v>
      </c>
      <c r="F38" s="38">
        <v>1.18</v>
      </c>
      <c r="G38" s="38"/>
      <c r="H38" s="38">
        <v>1.75</v>
      </c>
      <c r="I38" s="38"/>
      <c r="J38" s="38"/>
      <c r="K38" s="40">
        <f>I38</f>
        <v>0</v>
      </c>
      <c r="L38" s="38"/>
      <c r="M38" s="38"/>
      <c r="N38" s="38"/>
      <c r="O38" s="38"/>
      <c r="P38" s="41"/>
      <c r="Q38" s="38"/>
      <c r="R38" s="38"/>
      <c r="S38" s="41"/>
      <c r="T38" s="38"/>
      <c r="U38" s="38"/>
      <c r="V38" s="38"/>
      <c r="W38" s="38"/>
      <c r="X38" s="38"/>
      <c r="Y38" s="38"/>
      <c r="Z38" s="38"/>
      <c r="AA38" s="38"/>
      <c r="AB38" s="38"/>
      <c r="AC38" s="42"/>
      <c r="AD38" s="24"/>
      <c r="AE38" s="24"/>
    </row>
    <row r="39" spans="1:31" ht="16.05" customHeight="1" x14ac:dyDescent="0.3">
      <c r="A39" s="43"/>
      <c r="B39" s="44" t="s">
        <v>140</v>
      </c>
      <c r="C39" s="45" t="s">
        <v>141</v>
      </c>
      <c r="D39" s="44" t="s">
        <v>76</v>
      </c>
      <c r="E39" s="44">
        <v>1</v>
      </c>
      <c r="F39" s="44">
        <v>1.18</v>
      </c>
      <c r="G39" s="44">
        <v>0.62</v>
      </c>
      <c r="H39" s="44"/>
      <c r="I39" s="44"/>
      <c r="J39" s="44"/>
      <c r="K39" s="44"/>
      <c r="L39" s="44"/>
      <c r="M39" s="40">
        <f>I39</f>
        <v>0</v>
      </c>
      <c r="N39" s="44"/>
      <c r="O39" s="44"/>
      <c r="P39" s="41"/>
      <c r="Q39" s="44"/>
      <c r="R39" s="44"/>
      <c r="S39" s="41"/>
      <c r="T39" s="44"/>
      <c r="U39" s="44"/>
      <c r="V39" s="44"/>
      <c r="W39" s="44"/>
      <c r="X39" s="44"/>
      <c r="Y39" s="44"/>
      <c r="Z39" s="44"/>
      <c r="AA39" s="44"/>
      <c r="AB39" s="44"/>
      <c r="AC39" s="46"/>
      <c r="AD39" s="24"/>
      <c r="AE39" s="24"/>
    </row>
    <row r="40" spans="1:31" ht="16.05" customHeight="1" x14ac:dyDescent="0.3">
      <c r="A40" s="37"/>
      <c r="B40" s="38" t="s">
        <v>142</v>
      </c>
      <c r="C40" s="39" t="s">
        <v>143</v>
      </c>
      <c r="D40" s="38" t="s">
        <v>76</v>
      </c>
      <c r="E40" s="38">
        <v>1</v>
      </c>
      <c r="F40" s="38">
        <v>1.18</v>
      </c>
      <c r="G40" s="38">
        <v>0.62</v>
      </c>
      <c r="H40" s="38"/>
      <c r="I40" s="38"/>
      <c r="J40" s="38"/>
      <c r="K40" s="38"/>
      <c r="L40" s="38"/>
      <c r="M40" s="40">
        <f>I40</f>
        <v>0</v>
      </c>
      <c r="N40" s="38"/>
      <c r="O40" s="38"/>
      <c r="P40" s="41"/>
      <c r="Q40" s="38"/>
      <c r="R40" s="38"/>
      <c r="S40" s="41"/>
      <c r="T40" s="38"/>
      <c r="U40" s="38"/>
      <c r="V40" s="38"/>
      <c r="W40" s="38"/>
      <c r="X40" s="38"/>
      <c r="Y40" s="38"/>
      <c r="Z40" s="38"/>
      <c r="AA40" s="38"/>
      <c r="AB40" s="38"/>
      <c r="AC40" s="42"/>
      <c r="AD40" s="24"/>
      <c r="AE40" s="24"/>
    </row>
    <row r="41" spans="1:31" ht="16.05" customHeight="1" x14ac:dyDescent="0.3">
      <c r="A41" s="43"/>
      <c r="B41" s="44" t="s">
        <v>144</v>
      </c>
      <c r="C41" s="45" t="s">
        <v>145</v>
      </c>
      <c r="D41" s="44" t="s">
        <v>76</v>
      </c>
      <c r="E41" s="44">
        <v>2</v>
      </c>
      <c r="F41" s="44"/>
      <c r="G41" s="44">
        <v>0.62</v>
      </c>
      <c r="H41" s="44">
        <v>1.75</v>
      </c>
      <c r="I41" s="44"/>
      <c r="J41" s="44"/>
      <c r="K41" s="44"/>
      <c r="L41" s="44"/>
      <c r="M41" s="40">
        <f>I41</f>
        <v>0</v>
      </c>
      <c r="N41" s="44"/>
      <c r="O41" s="44"/>
      <c r="P41" s="41"/>
      <c r="Q41" s="44"/>
      <c r="R41" s="44"/>
      <c r="S41" s="41"/>
      <c r="T41" s="44"/>
      <c r="U41" s="44"/>
      <c r="V41" s="44"/>
      <c r="W41" s="44"/>
      <c r="X41" s="44"/>
      <c r="Y41" s="44"/>
      <c r="Z41" s="44"/>
      <c r="AA41" s="44"/>
      <c r="AB41" s="44"/>
      <c r="AC41" s="46"/>
      <c r="AD41" s="24"/>
      <c r="AE41" s="24"/>
    </row>
    <row r="42" spans="1:31" ht="16.05" customHeight="1" x14ac:dyDescent="0.3">
      <c r="A42" s="37"/>
      <c r="B42" s="38" t="s">
        <v>146</v>
      </c>
      <c r="C42" s="39" t="s">
        <v>147</v>
      </c>
      <c r="D42" s="38" t="s">
        <v>76</v>
      </c>
      <c r="E42" s="38">
        <v>2</v>
      </c>
      <c r="F42" s="38"/>
      <c r="G42" s="38">
        <v>0.62</v>
      </c>
      <c r="H42" s="38">
        <v>1.75</v>
      </c>
      <c r="I42" s="38"/>
      <c r="J42" s="38"/>
      <c r="K42" s="38"/>
      <c r="L42" s="38"/>
      <c r="M42" s="40">
        <f>I42</f>
        <v>0</v>
      </c>
      <c r="N42" s="38"/>
      <c r="O42" s="38"/>
      <c r="P42" s="41"/>
      <c r="Q42" s="38"/>
      <c r="R42" s="38"/>
      <c r="S42" s="41"/>
      <c r="T42" s="38"/>
      <c r="U42" s="38"/>
      <c r="V42" s="38"/>
      <c r="W42" s="38"/>
      <c r="X42" s="38"/>
      <c r="Y42" s="38"/>
      <c r="Z42" s="38"/>
      <c r="AA42" s="38"/>
      <c r="AB42" s="38"/>
      <c r="AC42" s="42"/>
      <c r="AD42" s="24"/>
      <c r="AE42" s="24"/>
    </row>
    <row r="43" spans="1:31" ht="16.05" customHeight="1" x14ac:dyDescent="0.3">
      <c r="A43" s="43"/>
      <c r="B43" s="44" t="s">
        <v>148</v>
      </c>
      <c r="C43" s="45" t="s">
        <v>149</v>
      </c>
      <c r="D43" s="44" t="s">
        <v>76</v>
      </c>
      <c r="E43" s="44">
        <v>4</v>
      </c>
      <c r="F43" s="44">
        <v>0.59</v>
      </c>
      <c r="G43" s="44">
        <v>0.62</v>
      </c>
      <c r="H43" s="44"/>
      <c r="I43" s="44"/>
      <c r="J43" s="44"/>
      <c r="K43" s="44"/>
      <c r="L43" s="44"/>
      <c r="M43" s="40">
        <f>I43</f>
        <v>0</v>
      </c>
      <c r="N43" s="44"/>
      <c r="O43" s="44"/>
      <c r="P43" s="41"/>
      <c r="Q43" s="44"/>
      <c r="R43" s="44"/>
      <c r="S43" s="41"/>
      <c r="T43" s="44"/>
      <c r="U43" s="44"/>
      <c r="V43" s="44"/>
      <c r="W43" s="44"/>
      <c r="X43" s="44"/>
      <c r="Y43" s="44"/>
      <c r="Z43" s="44"/>
      <c r="AA43" s="44"/>
      <c r="AB43" s="44"/>
      <c r="AC43" s="46"/>
      <c r="AD43" s="24"/>
      <c r="AE43" s="24"/>
    </row>
    <row r="44" spans="1:31" ht="16.05" customHeight="1" x14ac:dyDescent="0.3">
      <c r="A44" s="37"/>
      <c r="B44" s="38" t="s">
        <v>150</v>
      </c>
      <c r="C44" s="39" t="s">
        <v>151</v>
      </c>
      <c r="D44" s="38" t="s">
        <v>89</v>
      </c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41"/>
      <c r="Q44" s="38"/>
      <c r="R44" s="38"/>
      <c r="S44" s="41"/>
      <c r="T44" s="38"/>
      <c r="U44" s="38"/>
      <c r="V44" s="40">
        <v>25.02</v>
      </c>
      <c r="W44" s="38"/>
      <c r="X44" s="38"/>
      <c r="Y44" s="38"/>
      <c r="Z44" s="38"/>
      <c r="AA44" s="38"/>
      <c r="AB44" s="38"/>
      <c r="AC44" s="42" t="s">
        <v>152</v>
      </c>
      <c r="AD44" s="24"/>
      <c r="AE44" s="24"/>
    </row>
    <row r="45" spans="1:31" ht="16.05" customHeight="1" x14ac:dyDescent="0.3">
      <c r="A45" s="34"/>
      <c r="B45" s="34"/>
      <c r="C45" s="35" t="s">
        <v>153</v>
      </c>
      <c r="D45" s="34"/>
      <c r="E45" s="34"/>
      <c r="F45" s="36">
        <v>1.18</v>
      </c>
      <c r="G45" s="36"/>
      <c r="H45" s="36">
        <v>1.75</v>
      </c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24"/>
      <c r="AE45" s="24"/>
    </row>
    <row r="46" spans="1:31" ht="16.05" customHeight="1" x14ac:dyDescent="0.3">
      <c r="A46" s="37"/>
      <c r="B46" s="38" t="s">
        <v>154</v>
      </c>
      <c r="C46" s="39" t="s">
        <v>155</v>
      </c>
      <c r="D46" s="38" t="s">
        <v>76</v>
      </c>
      <c r="E46" s="38">
        <v>1</v>
      </c>
      <c r="F46" s="38">
        <v>1.18</v>
      </c>
      <c r="G46" s="38"/>
      <c r="H46" s="38">
        <v>1.75</v>
      </c>
      <c r="I46" s="38"/>
      <c r="J46" s="38"/>
      <c r="K46" s="38"/>
      <c r="L46" s="38"/>
      <c r="M46" s="38"/>
      <c r="N46" s="40">
        <f>I46</f>
        <v>0</v>
      </c>
      <c r="O46" s="38"/>
      <c r="P46" s="41"/>
      <c r="Q46" s="38"/>
      <c r="R46" s="38"/>
      <c r="S46" s="41"/>
      <c r="T46" s="38"/>
      <c r="U46" s="38"/>
      <c r="V46" s="38"/>
      <c r="W46" s="38"/>
      <c r="X46" s="38"/>
      <c r="Y46" s="38"/>
      <c r="Z46" s="38"/>
      <c r="AA46" s="38"/>
      <c r="AB46" s="38"/>
      <c r="AC46" s="42" t="s">
        <v>156</v>
      </c>
      <c r="AD46" s="24"/>
      <c r="AE46" s="24"/>
    </row>
    <row r="47" spans="1:31" ht="16.05" customHeight="1" x14ac:dyDescent="0.3">
      <c r="A47" s="43"/>
      <c r="B47" s="44" t="s">
        <v>157</v>
      </c>
      <c r="C47" s="45" t="s">
        <v>158</v>
      </c>
      <c r="D47" s="44" t="s">
        <v>89</v>
      </c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1"/>
      <c r="Q47" s="44"/>
      <c r="R47" s="44"/>
      <c r="S47" s="41"/>
      <c r="T47" s="44"/>
      <c r="U47" s="44"/>
      <c r="V47" s="40">
        <v>9.36</v>
      </c>
      <c r="W47" s="44"/>
      <c r="X47" s="44"/>
      <c r="Y47" s="44"/>
      <c r="Z47" s="44"/>
      <c r="AA47" s="44"/>
      <c r="AB47" s="44"/>
      <c r="AC47" s="46" t="s">
        <v>159</v>
      </c>
      <c r="AD47" s="24"/>
      <c r="AE47" s="24"/>
    </row>
    <row r="48" spans="1:31" ht="16.05" customHeight="1" x14ac:dyDescent="0.3">
      <c r="A48" s="34"/>
      <c r="B48" s="34"/>
      <c r="C48" s="35" t="s">
        <v>121</v>
      </c>
      <c r="D48" s="34"/>
      <c r="E48" s="34"/>
      <c r="F48" s="36">
        <v>0.35</v>
      </c>
      <c r="G48" s="36"/>
      <c r="H48" s="36">
        <v>2.7</v>
      </c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24"/>
      <c r="AE48" s="24"/>
    </row>
    <row r="49" spans="1:31" ht="16.05" customHeight="1" x14ac:dyDescent="0.3">
      <c r="A49" s="37"/>
      <c r="B49" s="38" t="s">
        <v>160</v>
      </c>
      <c r="C49" s="39" t="s">
        <v>123</v>
      </c>
      <c r="D49" s="38" t="s">
        <v>76</v>
      </c>
      <c r="E49" s="38"/>
      <c r="F49" s="38">
        <v>0.35</v>
      </c>
      <c r="G49" s="38"/>
      <c r="H49" s="38">
        <v>2.7</v>
      </c>
      <c r="I49" s="38"/>
      <c r="J49" s="38"/>
      <c r="K49" s="38"/>
      <c r="L49" s="38"/>
      <c r="M49" s="38"/>
      <c r="N49" s="38"/>
      <c r="O49" s="38"/>
      <c r="P49" s="41"/>
      <c r="Q49" s="40">
        <f>I49</f>
        <v>0</v>
      </c>
      <c r="R49" s="40">
        <f>I49</f>
        <v>0</v>
      </c>
      <c r="S49" s="41"/>
      <c r="T49" s="38"/>
      <c r="U49" s="38"/>
      <c r="V49" s="38"/>
      <c r="W49" s="38"/>
      <c r="X49" s="38"/>
      <c r="Y49" s="38"/>
      <c r="Z49" s="38"/>
      <c r="AA49" s="38"/>
      <c r="AB49" s="38"/>
      <c r="AC49" s="42" t="s">
        <v>161</v>
      </c>
      <c r="AD49" s="24"/>
      <c r="AE49" s="24"/>
    </row>
    <row r="50" spans="1:31" ht="16.05" customHeight="1" x14ac:dyDescent="0.3">
      <c r="A50" s="43"/>
      <c r="B50" s="44" t="s">
        <v>162</v>
      </c>
      <c r="C50" s="45" t="s">
        <v>126</v>
      </c>
      <c r="D50" s="44" t="s">
        <v>89</v>
      </c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1"/>
      <c r="Q50" s="44"/>
      <c r="R50" s="44"/>
      <c r="S50" s="41"/>
      <c r="T50" s="44"/>
      <c r="U50" s="44"/>
      <c r="V50" s="44"/>
      <c r="W50" s="40">
        <v>3.05</v>
      </c>
      <c r="X50" s="44"/>
      <c r="Y50" s="44"/>
      <c r="Z50" s="44"/>
      <c r="AA50" s="44"/>
      <c r="AB50" s="44"/>
      <c r="AC50" s="46" t="s">
        <v>163</v>
      </c>
      <c r="AD50" s="24"/>
      <c r="AE50" s="24"/>
    </row>
    <row r="51" spans="1:31" ht="16.05" customHeight="1" x14ac:dyDescent="0.3">
      <c r="A51" s="34"/>
      <c r="B51" s="34"/>
      <c r="C51" s="35" t="s">
        <v>128</v>
      </c>
      <c r="D51" s="34"/>
      <c r="E51" s="34"/>
      <c r="F51" s="36"/>
      <c r="G51" s="36"/>
      <c r="H51" s="36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24"/>
      <c r="AE51" s="24"/>
    </row>
    <row r="52" spans="1:31" ht="16.05" customHeight="1" x14ac:dyDescent="0.3">
      <c r="A52" s="37"/>
      <c r="B52" s="38" t="s">
        <v>164</v>
      </c>
      <c r="C52" s="39" t="s">
        <v>130</v>
      </c>
      <c r="D52" s="38" t="s">
        <v>131</v>
      </c>
      <c r="E52" s="38">
        <v>4</v>
      </c>
      <c r="F52" s="38"/>
      <c r="G52" s="38"/>
      <c r="H52" s="38"/>
      <c r="I52" s="47">
        <v>4</v>
      </c>
      <c r="J52" s="38"/>
      <c r="K52" s="38"/>
      <c r="L52" s="38"/>
      <c r="M52" s="38"/>
      <c r="N52" s="38"/>
      <c r="O52" s="38"/>
      <c r="P52" s="41"/>
      <c r="Q52" s="38"/>
      <c r="R52" s="38"/>
      <c r="S52" s="41"/>
      <c r="T52" s="40">
        <f>I52</f>
        <v>4</v>
      </c>
      <c r="U52" s="38"/>
      <c r="V52" s="38"/>
      <c r="W52" s="38"/>
      <c r="X52" s="38"/>
      <c r="Y52" s="38"/>
      <c r="Z52" s="38"/>
      <c r="AA52" s="38"/>
      <c r="AB52" s="38"/>
      <c r="AC52" s="42" t="s">
        <v>165</v>
      </c>
      <c r="AD52" s="24"/>
      <c r="AE52" s="24"/>
    </row>
    <row r="53" spans="1:31" ht="19.95" customHeight="1" x14ac:dyDescent="0.3">
      <c r="I53" s="48" t="s">
        <v>133</v>
      </c>
      <c r="J53" s="49">
        <f t="shared" ref="J53:O53" si="2">SUM(J37:J52)</f>
        <v>0</v>
      </c>
      <c r="K53" s="49">
        <f t="shared" si="2"/>
        <v>0</v>
      </c>
      <c r="L53" s="49">
        <f t="shared" si="2"/>
        <v>0</v>
      </c>
      <c r="M53" s="49">
        <f t="shared" si="2"/>
        <v>0</v>
      </c>
      <c r="N53" s="49">
        <f t="shared" si="2"/>
        <v>0</v>
      </c>
      <c r="O53" s="49">
        <f t="shared" si="2"/>
        <v>0</v>
      </c>
      <c r="P53" s="50"/>
      <c r="Q53" s="49">
        <f>SUM(Q37:Q52)</f>
        <v>0</v>
      </c>
      <c r="R53" s="49">
        <f>SUM(R37:R52)</f>
        <v>0</v>
      </c>
      <c r="S53" s="50"/>
      <c r="T53" s="49">
        <f t="shared" ref="T53:AB53" si="3">SUM(T37:T52)</f>
        <v>4</v>
      </c>
      <c r="U53" s="49">
        <f t="shared" si="3"/>
        <v>0</v>
      </c>
      <c r="V53" s="49">
        <f t="shared" si="3"/>
        <v>34.379999999999995</v>
      </c>
      <c r="W53" s="49">
        <f t="shared" si="3"/>
        <v>3.05</v>
      </c>
      <c r="X53" s="49">
        <f t="shared" si="3"/>
        <v>0</v>
      </c>
      <c r="Y53" s="49">
        <f t="shared" si="3"/>
        <v>0</v>
      </c>
      <c r="Z53" s="49">
        <f t="shared" si="3"/>
        <v>0</v>
      </c>
      <c r="AA53" s="49">
        <f t="shared" si="3"/>
        <v>0</v>
      </c>
      <c r="AB53" s="49">
        <f t="shared" si="3"/>
        <v>0</v>
      </c>
      <c r="AD53" s="24"/>
      <c r="AE53" s="24"/>
    </row>
    <row r="54" spans="1:31" ht="22.05" customHeight="1" x14ac:dyDescent="0.3">
      <c r="H54" s="51">
        <f>H2</f>
        <v>58</v>
      </c>
      <c r="I54" s="52" t="s">
        <v>134</v>
      </c>
      <c r="J54" s="53">
        <f>J53*H2/2.88</f>
        <v>0</v>
      </c>
      <c r="K54" s="53">
        <f>K53*H2/2.88</f>
        <v>0</v>
      </c>
      <c r="L54" s="53">
        <f>L53*H2/2.88</f>
        <v>0</v>
      </c>
      <c r="M54" s="53">
        <f>M53*H2/2.88</f>
        <v>0</v>
      </c>
      <c r="N54" s="53">
        <f>N53*H2/2.88</f>
        <v>0</v>
      </c>
      <c r="O54" s="53">
        <f>O53*H2/2.88</f>
        <v>0</v>
      </c>
      <c r="P54" s="54"/>
      <c r="Q54" s="53">
        <f>Q53*H2/2.88</f>
        <v>0</v>
      </c>
      <c r="R54" s="53">
        <f>R53*H2/2.88</f>
        <v>0</v>
      </c>
      <c r="S54" s="54"/>
      <c r="T54" s="53">
        <f>T53*H2</f>
        <v>232</v>
      </c>
      <c r="U54" s="53">
        <f>U53*H2</f>
        <v>0</v>
      </c>
      <c r="V54" s="53">
        <f>V53*H2</f>
        <v>1994.0399999999997</v>
      </c>
      <c r="W54" s="53">
        <f>W53*H2</f>
        <v>176.89999999999998</v>
      </c>
      <c r="X54" s="53">
        <f>X53*H2</f>
        <v>0</v>
      </c>
      <c r="Y54" s="53">
        <f>Y53*H2</f>
        <v>0</v>
      </c>
      <c r="Z54" s="53">
        <f>Z53*H2</f>
        <v>0</v>
      </c>
      <c r="AA54" s="53">
        <f>AA53*H2</f>
        <v>0</v>
      </c>
      <c r="AB54" s="53">
        <f>AB53*H2</f>
        <v>0</v>
      </c>
      <c r="AD54" s="24"/>
      <c r="AE54" s="24"/>
    </row>
    <row r="55" spans="1:31" ht="10.050000000000001" customHeight="1" x14ac:dyDescent="0.3">
      <c r="AD55" s="24"/>
      <c r="AE55" s="24"/>
    </row>
    <row r="56" spans="1:31" ht="31.95" customHeight="1" x14ac:dyDescent="0.3">
      <c r="A56" s="28"/>
      <c r="B56" s="29" t="s">
        <v>45</v>
      </c>
      <c r="C56" s="30" t="s">
        <v>166</v>
      </c>
      <c r="D56" s="28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31" t="s">
        <v>167</v>
      </c>
      <c r="AD56" s="24"/>
      <c r="AE56" s="24"/>
    </row>
    <row r="57" spans="1:31" ht="60" customHeight="1" x14ac:dyDescent="0.3">
      <c r="A57" s="32"/>
      <c r="B57" s="32" t="s">
        <v>48</v>
      </c>
      <c r="C57" s="32" t="s">
        <v>30</v>
      </c>
      <c r="D57" s="32" t="s">
        <v>49</v>
      </c>
      <c r="E57" s="32" t="s">
        <v>50</v>
      </c>
      <c r="F57" s="32" t="s">
        <v>51</v>
      </c>
      <c r="G57" s="32" t="s">
        <v>52</v>
      </c>
      <c r="H57" s="32" t="s">
        <v>53</v>
      </c>
      <c r="I57" s="32" t="s">
        <v>54</v>
      </c>
      <c r="J57" s="32" t="s">
        <v>55</v>
      </c>
      <c r="K57" s="32" t="s">
        <v>56</v>
      </c>
      <c r="L57" s="32" t="s">
        <v>57</v>
      </c>
      <c r="M57" s="32" t="s">
        <v>58</v>
      </c>
      <c r="N57" s="32" t="s">
        <v>59</v>
      </c>
      <c r="O57" s="32" t="s">
        <v>60</v>
      </c>
      <c r="P57" s="33"/>
      <c r="Q57" s="32" t="s">
        <v>61</v>
      </c>
      <c r="R57" s="32" t="s">
        <v>62</v>
      </c>
      <c r="S57" s="33"/>
      <c r="T57" s="32" t="s">
        <v>63</v>
      </c>
      <c r="U57" s="32" t="s">
        <v>64</v>
      </c>
      <c r="V57" s="32" t="s">
        <v>65</v>
      </c>
      <c r="W57" s="32" t="s">
        <v>66</v>
      </c>
      <c r="X57" s="32" t="s">
        <v>67</v>
      </c>
      <c r="Y57" s="32" t="s">
        <v>68</v>
      </c>
      <c r="Z57" s="32" t="s">
        <v>69</v>
      </c>
      <c r="AA57" s="32" t="s">
        <v>70</v>
      </c>
      <c r="AB57" s="32" t="s">
        <v>71</v>
      </c>
      <c r="AC57" s="32" t="s">
        <v>72</v>
      </c>
      <c r="AD57" s="24"/>
      <c r="AE57" s="24"/>
    </row>
    <row r="58" spans="1:31" ht="16.05" customHeight="1" x14ac:dyDescent="0.3">
      <c r="A58" s="34"/>
      <c r="B58" s="34"/>
      <c r="C58" s="35" t="s">
        <v>137</v>
      </c>
      <c r="D58" s="34"/>
      <c r="E58" s="34"/>
      <c r="F58" s="36">
        <v>1.45</v>
      </c>
      <c r="G58" s="36"/>
      <c r="H58" s="36">
        <v>0.77</v>
      </c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24"/>
      <c r="AE58" s="24"/>
    </row>
    <row r="59" spans="1:31" ht="16.05" customHeight="1" x14ac:dyDescent="0.3">
      <c r="A59" s="37"/>
      <c r="B59" s="38" t="s">
        <v>168</v>
      </c>
      <c r="C59" s="39" t="s">
        <v>139</v>
      </c>
      <c r="D59" s="38" t="s">
        <v>76</v>
      </c>
      <c r="E59" s="38">
        <v>1</v>
      </c>
      <c r="F59" s="38">
        <v>1.45</v>
      </c>
      <c r="G59" s="38"/>
      <c r="H59" s="38">
        <v>0.77</v>
      </c>
      <c r="I59" s="38"/>
      <c r="J59" s="38"/>
      <c r="K59" s="40">
        <f>I59</f>
        <v>0</v>
      </c>
      <c r="L59" s="38"/>
      <c r="M59" s="38"/>
      <c r="N59" s="38"/>
      <c r="O59" s="38"/>
      <c r="P59" s="41"/>
      <c r="Q59" s="38"/>
      <c r="R59" s="38"/>
      <c r="S59" s="41"/>
      <c r="T59" s="38"/>
      <c r="U59" s="38"/>
      <c r="V59" s="38"/>
      <c r="W59" s="38"/>
      <c r="X59" s="38"/>
      <c r="Y59" s="38"/>
      <c r="Z59" s="38"/>
      <c r="AA59" s="38"/>
      <c r="AB59" s="38"/>
      <c r="AC59" s="42"/>
      <c r="AD59" s="24"/>
      <c r="AE59" s="24"/>
    </row>
    <row r="60" spans="1:31" ht="16.05" customHeight="1" x14ac:dyDescent="0.3">
      <c r="A60" s="43"/>
      <c r="B60" s="44" t="s">
        <v>169</v>
      </c>
      <c r="C60" s="45" t="s">
        <v>141</v>
      </c>
      <c r="D60" s="44" t="s">
        <v>76</v>
      </c>
      <c r="E60" s="44">
        <v>1</v>
      </c>
      <c r="F60" s="44">
        <v>1.45</v>
      </c>
      <c r="G60" s="44">
        <v>0.63</v>
      </c>
      <c r="H60" s="44"/>
      <c r="I60" s="44"/>
      <c r="J60" s="44"/>
      <c r="K60" s="44"/>
      <c r="L60" s="44"/>
      <c r="M60" s="40">
        <f>I60</f>
        <v>0</v>
      </c>
      <c r="N60" s="44"/>
      <c r="O60" s="44"/>
      <c r="P60" s="41"/>
      <c r="Q60" s="44"/>
      <c r="R60" s="44"/>
      <c r="S60" s="41"/>
      <c r="T60" s="44"/>
      <c r="U60" s="44"/>
      <c r="V60" s="44"/>
      <c r="W60" s="44"/>
      <c r="X60" s="44"/>
      <c r="Y60" s="44"/>
      <c r="Z60" s="44"/>
      <c r="AA60" s="44"/>
      <c r="AB60" s="44"/>
      <c r="AC60" s="46"/>
      <c r="AD60" s="24"/>
      <c r="AE60" s="24"/>
    </row>
    <row r="61" spans="1:31" ht="16.05" customHeight="1" x14ac:dyDescent="0.3">
      <c r="A61" s="37"/>
      <c r="B61" s="38" t="s">
        <v>170</v>
      </c>
      <c r="C61" s="39" t="s">
        <v>171</v>
      </c>
      <c r="D61" s="38" t="s">
        <v>76</v>
      </c>
      <c r="E61" s="38">
        <v>0</v>
      </c>
      <c r="F61" s="38">
        <v>1.45</v>
      </c>
      <c r="G61" s="38">
        <v>0.63</v>
      </c>
      <c r="H61" s="38"/>
      <c r="I61" s="38"/>
      <c r="J61" s="38"/>
      <c r="K61" s="38"/>
      <c r="L61" s="38"/>
      <c r="M61" s="40">
        <f>I61</f>
        <v>0</v>
      </c>
      <c r="N61" s="38"/>
      <c r="O61" s="38"/>
      <c r="P61" s="41"/>
      <c r="Q61" s="38"/>
      <c r="R61" s="38"/>
      <c r="S61" s="41"/>
      <c r="T61" s="38"/>
      <c r="U61" s="38"/>
      <c r="V61" s="38"/>
      <c r="W61" s="38"/>
      <c r="X61" s="38"/>
      <c r="Y61" s="38"/>
      <c r="Z61" s="38"/>
      <c r="AA61" s="38"/>
      <c r="AB61" s="38"/>
      <c r="AC61" s="42" t="s">
        <v>172</v>
      </c>
      <c r="AD61" s="24"/>
      <c r="AE61" s="24"/>
    </row>
    <row r="62" spans="1:31" ht="16.05" customHeight="1" x14ac:dyDescent="0.3">
      <c r="A62" s="43"/>
      <c r="B62" s="44" t="s">
        <v>173</v>
      </c>
      <c r="C62" s="45" t="s">
        <v>145</v>
      </c>
      <c r="D62" s="44" t="s">
        <v>76</v>
      </c>
      <c r="E62" s="44">
        <v>2</v>
      </c>
      <c r="F62" s="44"/>
      <c r="G62" s="44">
        <v>0.63</v>
      </c>
      <c r="H62" s="44">
        <v>0.77</v>
      </c>
      <c r="I62" s="44"/>
      <c r="J62" s="44"/>
      <c r="K62" s="44"/>
      <c r="L62" s="44"/>
      <c r="M62" s="40">
        <f>I62</f>
        <v>0</v>
      </c>
      <c r="N62" s="44"/>
      <c r="O62" s="44"/>
      <c r="P62" s="41"/>
      <c r="Q62" s="44"/>
      <c r="R62" s="44"/>
      <c r="S62" s="41"/>
      <c r="T62" s="44"/>
      <c r="U62" s="44"/>
      <c r="V62" s="44"/>
      <c r="W62" s="44"/>
      <c r="X62" s="44"/>
      <c r="Y62" s="44"/>
      <c r="Z62" s="44"/>
      <c r="AA62" s="44"/>
      <c r="AB62" s="44"/>
      <c r="AC62" s="46"/>
      <c r="AD62" s="24"/>
      <c r="AE62" s="24"/>
    </row>
    <row r="63" spans="1:31" ht="16.05" customHeight="1" x14ac:dyDescent="0.3">
      <c r="A63" s="37"/>
      <c r="B63" s="38" t="s">
        <v>174</v>
      </c>
      <c r="C63" s="39" t="s">
        <v>147</v>
      </c>
      <c r="D63" s="38" t="s">
        <v>76</v>
      </c>
      <c r="E63" s="38">
        <v>3</v>
      </c>
      <c r="F63" s="38"/>
      <c r="G63" s="38">
        <v>0.63</v>
      </c>
      <c r="H63" s="38">
        <v>0.77</v>
      </c>
      <c r="I63" s="38"/>
      <c r="J63" s="38"/>
      <c r="K63" s="38"/>
      <c r="L63" s="38"/>
      <c r="M63" s="40">
        <f>I63</f>
        <v>0</v>
      </c>
      <c r="N63" s="38"/>
      <c r="O63" s="38"/>
      <c r="P63" s="41"/>
      <c r="Q63" s="38"/>
      <c r="R63" s="38"/>
      <c r="S63" s="41"/>
      <c r="T63" s="38"/>
      <c r="U63" s="38"/>
      <c r="V63" s="38"/>
      <c r="W63" s="38"/>
      <c r="X63" s="38"/>
      <c r="Y63" s="38"/>
      <c r="Z63" s="38"/>
      <c r="AA63" s="38"/>
      <c r="AB63" s="38"/>
      <c r="AC63" s="42"/>
      <c r="AD63" s="24"/>
      <c r="AE63" s="24"/>
    </row>
    <row r="64" spans="1:31" ht="16.05" customHeight="1" x14ac:dyDescent="0.3">
      <c r="A64" s="43"/>
      <c r="B64" s="44" t="s">
        <v>175</v>
      </c>
      <c r="C64" s="45" t="s">
        <v>176</v>
      </c>
      <c r="D64" s="44" t="s">
        <v>76</v>
      </c>
      <c r="E64" s="44">
        <v>0</v>
      </c>
      <c r="F64" s="44">
        <v>1.45</v>
      </c>
      <c r="G64" s="44">
        <v>0.63</v>
      </c>
      <c r="H64" s="44"/>
      <c r="I64" s="44"/>
      <c r="J64" s="44"/>
      <c r="K64" s="44"/>
      <c r="L64" s="44"/>
      <c r="M64" s="40">
        <f>I64</f>
        <v>0</v>
      </c>
      <c r="N64" s="44"/>
      <c r="O64" s="44"/>
      <c r="P64" s="41"/>
      <c r="Q64" s="44"/>
      <c r="R64" s="44"/>
      <c r="S64" s="41"/>
      <c r="T64" s="44"/>
      <c r="U64" s="44"/>
      <c r="V64" s="44"/>
      <c r="W64" s="44"/>
      <c r="X64" s="44"/>
      <c r="Y64" s="44"/>
      <c r="Z64" s="44"/>
      <c r="AA64" s="44"/>
      <c r="AB64" s="44"/>
      <c r="AC64" s="46" t="s">
        <v>177</v>
      </c>
      <c r="AD64" s="24"/>
      <c r="AE64" s="24"/>
    </row>
    <row r="65" spans="1:31" ht="16.05" customHeight="1" x14ac:dyDescent="0.3">
      <c r="A65" s="37"/>
      <c r="B65" s="38" t="s">
        <v>178</v>
      </c>
      <c r="C65" s="39" t="s">
        <v>151</v>
      </c>
      <c r="D65" s="38" t="s">
        <v>89</v>
      </c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41"/>
      <c r="Q65" s="38"/>
      <c r="R65" s="38"/>
      <c r="S65" s="41"/>
      <c r="T65" s="38"/>
      <c r="U65" s="38"/>
      <c r="V65" s="40">
        <v>10.81</v>
      </c>
      <c r="W65" s="38"/>
      <c r="X65" s="38"/>
      <c r="Y65" s="38"/>
      <c r="Z65" s="38"/>
      <c r="AA65" s="38"/>
      <c r="AB65" s="38"/>
      <c r="AC65" s="42" t="s">
        <v>179</v>
      </c>
      <c r="AD65" s="24"/>
      <c r="AE65" s="24"/>
    </row>
    <row r="66" spans="1:31" ht="16.05" customHeight="1" x14ac:dyDescent="0.3">
      <c r="A66" s="34"/>
      <c r="B66" s="34"/>
      <c r="C66" s="35" t="s">
        <v>180</v>
      </c>
      <c r="D66" s="34"/>
      <c r="E66" s="34"/>
      <c r="F66" s="36">
        <v>0.54</v>
      </c>
      <c r="G66" s="36"/>
      <c r="H66" s="36">
        <v>0.14000000000000001</v>
      </c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24"/>
      <c r="AE66" s="24"/>
    </row>
    <row r="67" spans="1:31" ht="16.05" customHeight="1" x14ac:dyDescent="0.3">
      <c r="A67" s="37"/>
      <c r="B67" s="38" t="s">
        <v>181</v>
      </c>
      <c r="C67" s="39" t="s">
        <v>182</v>
      </c>
      <c r="D67" s="38" t="s">
        <v>76</v>
      </c>
      <c r="E67" s="38">
        <v>1</v>
      </c>
      <c r="F67" s="38">
        <v>0.54</v>
      </c>
      <c r="G67" s="38"/>
      <c r="H67" s="38">
        <v>0.14000000000000001</v>
      </c>
      <c r="I67" s="38"/>
      <c r="J67" s="38"/>
      <c r="K67" s="38"/>
      <c r="L67" s="38"/>
      <c r="M67" s="40">
        <f>I67</f>
        <v>0</v>
      </c>
      <c r="N67" s="38"/>
      <c r="O67" s="38"/>
      <c r="P67" s="41"/>
      <c r="Q67" s="38"/>
      <c r="R67" s="38"/>
      <c r="S67" s="41"/>
      <c r="T67" s="38"/>
      <c r="U67" s="38"/>
      <c r="V67" s="38"/>
      <c r="W67" s="38"/>
      <c r="X67" s="38"/>
      <c r="Y67" s="38"/>
      <c r="Z67" s="38"/>
      <c r="AA67" s="38"/>
      <c r="AB67" s="38"/>
      <c r="AC67" s="42"/>
      <c r="AD67" s="24"/>
      <c r="AE67" s="24"/>
    </row>
    <row r="68" spans="1:31" ht="16.05" customHeight="1" x14ac:dyDescent="0.3">
      <c r="A68" s="43"/>
      <c r="B68" s="44" t="s">
        <v>183</v>
      </c>
      <c r="C68" s="45" t="s">
        <v>184</v>
      </c>
      <c r="D68" s="44" t="s">
        <v>76</v>
      </c>
      <c r="E68" s="44">
        <v>4</v>
      </c>
      <c r="F68" s="44">
        <v>0.54</v>
      </c>
      <c r="G68" s="44"/>
      <c r="H68" s="44">
        <v>0.14000000000000001</v>
      </c>
      <c r="I68" s="44"/>
      <c r="J68" s="44"/>
      <c r="K68" s="44"/>
      <c r="L68" s="40">
        <f>I68</f>
        <v>0</v>
      </c>
      <c r="M68" s="44"/>
      <c r="N68" s="44"/>
      <c r="O68" s="44"/>
      <c r="P68" s="41"/>
      <c r="Q68" s="44"/>
      <c r="R68" s="44"/>
      <c r="S68" s="41"/>
      <c r="T68" s="44"/>
      <c r="U68" s="44"/>
      <c r="V68" s="44"/>
      <c r="W68" s="44"/>
      <c r="X68" s="44"/>
      <c r="Y68" s="44"/>
      <c r="Z68" s="44"/>
      <c r="AA68" s="44"/>
      <c r="AB68" s="44"/>
      <c r="AC68" s="46"/>
      <c r="AD68" s="24"/>
      <c r="AE68" s="24"/>
    </row>
    <row r="69" spans="1:31" ht="16.05" customHeight="1" x14ac:dyDescent="0.3">
      <c r="A69" s="37"/>
      <c r="B69" s="38" t="s">
        <v>185</v>
      </c>
      <c r="C69" s="39" t="s">
        <v>186</v>
      </c>
      <c r="D69" s="38" t="s">
        <v>76</v>
      </c>
      <c r="E69" s="38">
        <v>1</v>
      </c>
      <c r="F69" s="38">
        <v>0.54</v>
      </c>
      <c r="G69" s="38">
        <v>0.5</v>
      </c>
      <c r="H69" s="38"/>
      <c r="I69" s="38"/>
      <c r="J69" s="40">
        <f>I69</f>
        <v>0</v>
      </c>
      <c r="K69" s="38"/>
      <c r="L69" s="38"/>
      <c r="M69" s="38"/>
      <c r="N69" s="38"/>
      <c r="O69" s="38"/>
      <c r="P69" s="41"/>
      <c r="Q69" s="38"/>
      <c r="R69" s="38"/>
      <c r="S69" s="41"/>
      <c r="T69" s="38"/>
      <c r="U69" s="38"/>
      <c r="V69" s="38"/>
      <c r="W69" s="38"/>
      <c r="X69" s="38"/>
      <c r="Y69" s="38"/>
      <c r="Z69" s="38"/>
      <c r="AA69" s="38"/>
      <c r="AB69" s="38"/>
      <c r="AC69" s="42"/>
      <c r="AD69" s="24"/>
      <c r="AE69" s="24"/>
    </row>
    <row r="70" spans="1:31" ht="16.05" customHeight="1" x14ac:dyDescent="0.3">
      <c r="A70" s="43"/>
      <c r="B70" s="44" t="s">
        <v>187</v>
      </c>
      <c r="C70" s="45" t="s">
        <v>188</v>
      </c>
      <c r="D70" s="44" t="s">
        <v>89</v>
      </c>
      <c r="E70" s="44"/>
      <c r="F70" s="44"/>
      <c r="G70" s="44"/>
      <c r="H70" s="44"/>
      <c r="I70" s="44"/>
      <c r="J70" s="44"/>
      <c r="K70" s="44"/>
      <c r="L70" s="44"/>
      <c r="M70" s="40">
        <f>I70</f>
        <v>0</v>
      </c>
      <c r="N70" s="44"/>
      <c r="O70" s="44"/>
      <c r="P70" s="41"/>
      <c r="Q70" s="44"/>
      <c r="R70" s="44"/>
      <c r="S70" s="41"/>
      <c r="T70" s="44"/>
      <c r="U70" s="44"/>
      <c r="V70" s="44"/>
      <c r="W70" s="44"/>
      <c r="X70" s="40">
        <v>1.36</v>
      </c>
      <c r="Y70" s="44"/>
      <c r="Z70" s="44"/>
      <c r="AA70" s="44"/>
      <c r="AB70" s="44"/>
      <c r="AC70" s="46" t="s">
        <v>189</v>
      </c>
      <c r="AD70" s="24"/>
      <c r="AE70" s="24"/>
    </row>
    <row r="71" spans="1:31" ht="16.05" customHeight="1" x14ac:dyDescent="0.3">
      <c r="A71" s="37"/>
      <c r="B71" s="38" t="s">
        <v>190</v>
      </c>
      <c r="C71" s="39" t="s">
        <v>191</v>
      </c>
      <c r="D71" s="38" t="s">
        <v>89</v>
      </c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41"/>
      <c r="Q71" s="38"/>
      <c r="R71" s="38"/>
      <c r="S71" s="41"/>
      <c r="T71" s="38"/>
      <c r="U71" s="38"/>
      <c r="V71" s="38"/>
      <c r="W71" s="38"/>
      <c r="X71" s="38"/>
      <c r="Y71" s="38"/>
      <c r="Z71" s="40">
        <v>2.08</v>
      </c>
      <c r="AA71" s="38"/>
      <c r="AB71" s="38"/>
      <c r="AC71" s="42" t="s">
        <v>192</v>
      </c>
      <c r="AD71" s="24"/>
      <c r="AE71" s="24"/>
    </row>
    <row r="72" spans="1:31" ht="16.05" customHeight="1" x14ac:dyDescent="0.3">
      <c r="A72" s="34"/>
      <c r="B72" s="34"/>
      <c r="C72" s="35" t="s">
        <v>153</v>
      </c>
      <c r="D72" s="34"/>
      <c r="E72" s="34"/>
      <c r="F72" s="36">
        <v>1.45</v>
      </c>
      <c r="G72" s="36"/>
      <c r="H72" s="36">
        <v>0.77</v>
      </c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24"/>
      <c r="AE72" s="24"/>
    </row>
    <row r="73" spans="1:31" ht="16.05" customHeight="1" x14ac:dyDescent="0.3">
      <c r="A73" s="37"/>
      <c r="B73" s="38" t="s">
        <v>193</v>
      </c>
      <c r="C73" s="39" t="s">
        <v>155</v>
      </c>
      <c r="D73" s="38" t="s">
        <v>76</v>
      </c>
      <c r="E73" s="38">
        <v>1</v>
      </c>
      <c r="F73" s="38">
        <v>1.45</v>
      </c>
      <c r="G73" s="38"/>
      <c r="H73" s="38">
        <v>0.77</v>
      </c>
      <c r="I73" s="38"/>
      <c r="J73" s="38"/>
      <c r="K73" s="38"/>
      <c r="L73" s="38"/>
      <c r="M73" s="38"/>
      <c r="N73" s="40">
        <f>I73</f>
        <v>0</v>
      </c>
      <c r="O73" s="38"/>
      <c r="P73" s="41"/>
      <c r="Q73" s="38"/>
      <c r="R73" s="38"/>
      <c r="S73" s="41"/>
      <c r="T73" s="38"/>
      <c r="U73" s="38"/>
      <c r="V73" s="38"/>
      <c r="W73" s="38"/>
      <c r="X73" s="38"/>
      <c r="Y73" s="38"/>
      <c r="Z73" s="38"/>
      <c r="AA73" s="38"/>
      <c r="AB73" s="38"/>
      <c r="AC73" s="42" t="s">
        <v>194</v>
      </c>
      <c r="AD73" s="24"/>
      <c r="AE73" s="24"/>
    </row>
    <row r="74" spans="1:31" ht="16.05" customHeight="1" x14ac:dyDescent="0.3">
      <c r="A74" s="43"/>
      <c r="B74" s="44" t="s">
        <v>195</v>
      </c>
      <c r="C74" s="45" t="s">
        <v>158</v>
      </c>
      <c r="D74" s="44" t="s">
        <v>89</v>
      </c>
      <c r="E74" s="44"/>
      <c r="F74" s="44"/>
      <c r="G74" s="44"/>
      <c r="H74" s="44"/>
      <c r="I74" s="44"/>
      <c r="J74" s="44"/>
      <c r="K74" s="44"/>
      <c r="L74" s="44"/>
      <c r="M74" s="44"/>
      <c r="N74" s="44"/>
      <c r="O74" s="44"/>
      <c r="P74" s="41"/>
      <c r="Q74" s="44"/>
      <c r="R74" s="44"/>
      <c r="S74" s="41"/>
      <c r="T74" s="44"/>
      <c r="U74" s="44"/>
      <c r="V74" s="40">
        <v>4.4400000000000004</v>
      </c>
      <c r="W74" s="44"/>
      <c r="X74" s="44"/>
      <c r="Y74" s="44"/>
      <c r="Z74" s="44"/>
      <c r="AA74" s="44"/>
      <c r="AB74" s="44"/>
      <c r="AC74" s="46" t="s">
        <v>196</v>
      </c>
      <c r="AD74" s="24"/>
      <c r="AE74" s="24"/>
    </row>
    <row r="75" spans="1:31" ht="16.05" customHeight="1" x14ac:dyDescent="0.3">
      <c r="A75" s="37"/>
      <c r="B75" s="38" t="s">
        <v>197</v>
      </c>
      <c r="C75" s="39" t="s">
        <v>198</v>
      </c>
      <c r="D75" s="38" t="s">
        <v>76</v>
      </c>
      <c r="E75" s="38">
        <v>1</v>
      </c>
      <c r="F75" s="38">
        <v>1.45</v>
      </c>
      <c r="G75" s="38">
        <v>0.63</v>
      </c>
      <c r="H75" s="38"/>
      <c r="I75" s="38"/>
      <c r="J75" s="38"/>
      <c r="K75" s="38"/>
      <c r="L75" s="38"/>
      <c r="M75" s="38"/>
      <c r="N75" s="38"/>
      <c r="O75" s="40">
        <f>I75</f>
        <v>0</v>
      </c>
      <c r="P75" s="41"/>
      <c r="Q75" s="38"/>
      <c r="R75" s="38"/>
      <c r="S75" s="41"/>
      <c r="T75" s="38"/>
      <c r="U75" s="38"/>
      <c r="V75" s="38"/>
      <c r="W75" s="38"/>
      <c r="X75" s="38"/>
      <c r="Y75" s="38"/>
      <c r="Z75" s="38"/>
      <c r="AA75" s="38"/>
      <c r="AB75" s="38"/>
      <c r="AC75" s="42"/>
      <c r="AD75" s="24"/>
      <c r="AE75" s="24"/>
    </row>
    <row r="76" spans="1:31" ht="16.05" customHeight="1" x14ac:dyDescent="0.3">
      <c r="A76" s="34"/>
      <c r="B76" s="34"/>
      <c r="C76" s="35" t="s">
        <v>128</v>
      </c>
      <c r="D76" s="34"/>
      <c r="E76" s="34"/>
      <c r="F76" s="36"/>
      <c r="G76" s="36"/>
      <c r="H76" s="36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24"/>
      <c r="AE76" s="24"/>
    </row>
    <row r="77" spans="1:31" ht="16.05" customHeight="1" x14ac:dyDescent="0.3">
      <c r="A77" s="37"/>
      <c r="B77" s="38" t="s">
        <v>199</v>
      </c>
      <c r="C77" s="39" t="s">
        <v>130</v>
      </c>
      <c r="D77" s="38" t="s">
        <v>131</v>
      </c>
      <c r="E77" s="38">
        <v>2</v>
      </c>
      <c r="F77" s="38"/>
      <c r="G77" s="38"/>
      <c r="H77" s="38"/>
      <c r="I77" s="47">
        <v>2</v>
      </c>
      <c r="J77" s="38"/>
      <c r="K77" s="38"/>
      <c r="L77" s="38"/>
      <c r="M77" s="38"/>
      <c r="N77" s="38"/>
      <c r="O77" s="38"/>
      <c r="P77" s="41"/>
      <c r="Q77" s="38"/>
      <c r="R77" s="38"/>
      <c r="S77" s="41"/>
      <c r="T77" s="40">
        <f>I77</f>
        <v>2</v>
      </c>
      <c r="U77" s="38"/>
      <c r="V77" s="38"/>
      <c r="W77" s="38"/>
      <c r="X77" s="38"/>
      <c r="Y77" s="38"/>
      <c r="Z77" s="38"/>
      <c r="AA77" s="38"/>
      <c r="AB77" s="38"/>
      <c r="AC77" s="42"/>
      <c r="AD77" s="24"/>
      <c r="AE77" s="24"/>
    </row>
    <row r="78" spans="1:31" ht="16.05" customHeight="1" x14ac:dyDescent="0.3">
      <c r="A78" s="34"/>
      <c r="B78" s="34"/>
      <c r="C78" s="35" t="s">
        <v>180</v>
      </c>
      <c r="D78" s="34"/>
      <c r="E78" s="34"/>
      <c r="F78" s="36"/>
      <c r="G78" s="36"/>
      <c r="H78" s="36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24"/>
      <c r="AE78" s="24"/>
    </row>
    <row r="79" spans="1:31" ht="16.05" customHeight="1" x14ac:dyDescent="0.3">
      <c r="A79" s="37"/>
      <c r="B79" s="38" t="s">
        <v>200</v>
      </c>
      <c r="C79" s="39" t="s">
        <v>201</v>
      </c>
      <c r="D79" s="38" t="s">
        <v>202</v>
      </c>
      <c r="E79" s="38">
        <v>2</v>
      </c>
      <c r="F79" s="38"/>
      <c r="G79" s="38"/>
      <c r="H79" s="38"/>
      <c r="I79" s="47">
        <v>2</v>
      </c>
      <c r="J79" s="38"/>
      <c r="K79" s="38"/>
      <c r="L79" s="38"/>
      <c r="M79" s="38"/>
      <c r="N79" s="38"/>
      <c r="O79" s="38"/>
      <c r="P79" s="41"/>
      <c r="Q79" s="38"/>
      <c r="R79" s="38"/>
      <c r="S79" s="41"/>
      <c r="T79" s="38"/>
      <c r="U79" s="40">
        <f>I79</f>
        <v>2</v>
      </c>
      <c r="V79" s="38"/>
      <c r="W79" s="38"/>
      <c r="X79" s="38"/>
      <c r="Y79" s="38"/>
      <c r="Z79" s="38"/>
      <c r="AA79" s="38"/>
      <c r="AB79" s="38"/>
      <c r="AC79" s="42"/>
      <c r="AD79" s="24"/>
      <c r="AE79" s="24"/>
    </row>
    <row r="80" spans="1:31" ht="16.05" customHeight="1" x14ac:dyDescent="0.3">
      <c r="A80" s="34"/>
      <c r="B80" s="34"/>
      <c r="C80" s="35" t="s">
        <v>128</v>
      </c>
      <c r="D80" s="34"/>
      <c r="E80" s="34"/>
      <c r="F80" s="36"/>
      <c r="G80" s="36"/>
      <c r="H80" s="36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24"/>
      <c r="AE80" s="24"/>
    </row>
    <row r="81" spans="1:31" ht="16.05" customHeight="1" x14ac:dyDescent="0.3">
      <c r="A81" s="37"/>
      <c r="B81" s="38" t="s">
        <v>203</v>
      </c>
      <c r="C81" s="39" t="s">
        <v>204</v>
      </c>
      <c r="D81" s="38" t="s">
        <v>89</v>
      </c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41"/>
      <c r="Q81" s="38"/>
      <c r="R81" s="38"/>
      <c r="S81" s="41"/>
      <c r="T81" s="38"/>
      <c r="U81" s="38"/>
      <c r="V81" s="38"/>
      <c r="W81" s="38"/>
      <c r="X81" s="38"/>
      <c r="Y81" s="40">
        <f>I81</f>
        <v>0</v>
      </c>
      <c r="Z81" s="38"/>
      <c r="AA81" s="38"/>
      <c r="AB81" s="38"/>
      <c r="AC81" s="42" t="s">
        <v>205</v>
      </c>
      <c r="AD81" s="24"/>
      <c r="AE81" s="24"/>
    </row>
    <row r="82" spans="1:31" ht="19.95" customHeight="1" x14ac:dyDescent="0.3">
      <c r="I82" s="48" t="s">
        <v>133</v>
      </c>
      <c r="J82" s="49">
        <f t="shared" ref="J82:O82" si="4">SUM(J58:J81)</f>
        <v>0</v>
      </c>
      <c r="K82" s="49">
        <f t="shared" si="4"/>
        <v>0</v>
      </c>
      <c r="L82" s="49">
        <f t="shared" si="4"/>
        <v>0</v>
      </c>
      <c r="M82" s="49">
        <f t="shared" si="4"/>
        <v>0</v>
      </c>
      <c r="N82" s="49">
        <f t="shared" si="4"/>
        <v>0</v>
      </c>
      <c r="O82" s="49">
        <f t="shared" si="4"/>
        <v>0</v>
      </c>
      <c r="P82" s="50"/>
      <c r="Q82" s="49">
        <f>SUM(Q58:Q81)</f>
        <v>0</v>
      </c>
      <c r="R82" s="49">
        <f>SUM(R58:R81)</f>
        <v>0</v>
      </c>
      <c r="S82" s="50"/>
      <c r="T82" s="49">
        <f t="shared" ref="T82:AB82" si="5">SUM(T58:T81)</f>
        <v>2</v>
      </c>
      <c r="U82" s="49">
        <f t="shared" si="5"/>
        <v>2</v>
      </c>
      <c r="V82" s="49">
        <f t="shared" si="5"/>
        <v>15.25</v>
      </c>
      <c r="W82" s="49">
        <f t="shared" si="5"/>
        <v>0</v>
      </c>
      <c r="X82" s="49">
        <f t="shared" si="5"/>
        <v>1.36</v>
      </c>
      <c r="Y82" s="49">
        <f t="shared" si="5"/>
        <v>0</v>
      </c>
      <c r="Z82" s="49">
        <f t="shared" si="5"/>
        <v>2.08</v>
      </c>
      <c r="AA82" s="49">
        <f t="shared" si="5"/>
        <v>0</v>
      </c>
      <c r="AB82" s="49">
        <f t="shared" si="5"/>
        <v>0</v>
      </c>
      <c r="AD82" s="24"/>
      <c r="AE82" s="24"/>
    </row>
    <row r="83" spans="1:31" ht="22.05" customHeight="1" x14ac:dyDescent="0.3">
      <c r="H83" s="51">
        <f>H2</f>
        <v>58</v>
      </c>
      <c r="I83" s="52" t="s">
        <v>134</v>
      </c>
      <c r="J83" s="53">
        <f>J82*H2/2.88</f>
        <v>0</v>
      </c>
      <c r="K83" s="53">
        <f>K82*H2/2.88</f>
        <v>0</v>
      </c>
      <c r="L83" s="53">
        <f>L82*H2/2.88</f>
        <v>0</v>
      </c>
      <c r="M83" s="53">
        <f>M82*H2/2.88</f>
        <v>0</v>
      </c>
      <c r="N83" s="53">
        <f>N82*H2/2.88</f>
        <v>0</v>
      </c>
      <c r="O83" s="53">
        <f>O82*H2/2.88</f>
        <v>0</v>
      </c>
      <c r="P83" s="54"/>
      <c r="Q83" s="53">
        <f>Q82*H2/2.88</f>
        <v>0</v>
      </c>
      <c r="R83" s="53">
        <f>R82*H2/2.88</f>
        <v>0</v>
      </c>
      <c r="S83" s="54"/>
      <c r="T83" s="53">
        <f>T82*H2</f>
        <v>116</v>
      </c>
      <c r="U83" s="53">
        <f>U82*H2</f>
        <v>116</v>
      </c>
      <c r="V83" s="53">
        <f>V82*H2</f>
        <v>884.5</v>
      </c>
      <c r="W83" s="53">
        <f>W82*H2</f>
        <v>0</v>
      </c>
      <c r="X83" s="53">
        <f>X82*H2</f>
        <v>78.88000000000001</v>
      </c>
      <c r="Y83" s="53">
        <f>Y82*H2</f>
        <v>0</v>
      </c>
      <c r="Z83" s="53">
        <f>Z82*H2</f>
        <v>120.64</v>
      </c>
      <c r="AA83" s="53">
        <f>AA82*H2</f>
        <v>0</v>
      </c>
      <c r="AB83" s="53">
        <f>AB82*H2</f>
        <v>0</v>
      </c>
      <c r="AD83" s="24"/>
      <c r="AE83" s="24"/>
    </row>
    <row r="84" spans="1:31" ht="10.050000000000001" customHeight="1" x14ac:dyDescent="0.3">
      <c r="AD84" s="24"/>
      <c r="AE84" s="24"/>
    </row>
    <row r="85" spans="1:31" ht="31.95" customHeight="1" x14ac:dyDescent="0.3">
      <c r="A85" s="28"/>
      <c r="B85" s="29" t="s">
        <v>135</v>
      </c>
      <c r="C85" s="30" t="s">
        <v>166</v>
      </c>
      <c r="D85" s="28"/>
      <c r="E85" s="28"/>
      <c r="F85" s="28"/>
      <c r="G85" s="28"/>
      <c r="H85" s="28"/>
      <c r="I85" s="28"/>
      <c r="J85" s="28"/>
      <c r="K85" s="28"/>
      <c r="L85" s="28"/>
      <c r="M85" s="28"/>
      <c r="N85" s="28"/>
      <c r="O85" s="28"/>
      <c r="P85" s="28"/>
      <c r="Q85" s="28"/>
      <c r="R85" s="28"/>
      <c r="S85" s="28"/>
      <c r="T85" s="28"/>
      <c r="U85" s="28"/>
      <c r="V85" s="28"/>
      <c r="W85" s="28"/>
      <c r="X85" s="28"/>
      <c r="Y85" s="28"/>
      <c r="Z85" s="28"/>
      <c r="AA85" s="28"/>
      <c r="AB85" s="28"/>
      <c r="AC85" s="31" t="s">
        <v>206</v>
      </c>
      <c r="AD85" s="24"/>
      <c r="AE85" s="24"/>
    </row>
    <row r="86" spans="1:31" ht="60" customHeight="1" x14ac:dyDescent="0.3">
      <c r="A86" s="32"/>
      <c r="B86" s="32" t="s">
        <v>48</v>
      </c>
      <c r="C86" s="32" t="s">
        <v>30</v>
      </c>
      <c r="D86" s="32" t="s">
        <v>49</v>
      </c>
      <c r="E86" s="32" t="s">
        <v>50</v>
      </c>
      <c r="F86" s="32" t="s">
        <v>51</v>
      </c>
      <c r="G86" s="32" t="s">
        <v>52</v>
      </c>
      <c r="H86" s="32" t="s">
        <v>53</v>
      </c>
      <c r="I86" s="32" t="s">
        <v>54</v>
      </c>
      <c r="J86" s="32" t="s">
        <v>55</v>
      </c>
      <c r="K86" s="32" t="s">
        <v>56</v>
      </c>
      <c r="L86" s="32" t="s">
        <v>57</v>
      </c>
      <c r="M86" s="32" t="s">
        <v>58</v>
      </c>
      <c r="N86" s="32" t="s">
        <v>59</v>
      </c>
      <c r="O86" s="32" t="s">
        <v>60</v>
      </c>
      <c r="P86" s="33"/>
      <c r="Q86" s="32" t="s">
        <v>61</v>
      </c>
      <c r="R86" s="32" t="s">
        <v>62</v>
      </c>
      <c r="S86" s="33"/>
      <c r="T86" s="32" t="s">
        <v>63</v>
      </c>
      <c r="U86" s="32" t="s">
        <v>64</v>
      </c>
      <c r="V86" s="32" t="s">
        <v>65</v>
      </c>
      <c r="W86" s="32" t="s">
        <v>66</v>
      </c>
      <c r="X86" s="32" t="s">
        <v>67</v>
      </c>
      <c r="Y86" s="32" t="s">
        <v>68</v>
      </c>
      <c r="Z86" s="32" t="s">
        <v>69</v>
      </c>
      <c r="AA86" s="32" t="s">
        <v>70</v>
      </c>
      <c r="AB86" s="32" t="s">
        <v>71</v>
      </c>
      <c r="AC86" s="32" t="s">
        <v>72</v>
      </c>
      <c r="AD86" s="24"/>
      <c r="AE86" s="24"/>
    </row>
    <row r="87" spans="1:31" ht="16.05" customHeight="1" x14ac:dyDescent="0.3">
      <c r="A87" s="34"/>
      <c r="B87" s="34"/>
      <c r="C87" s="35" t="s">
        <v>137</v>
      </c>
      <c r="D87" s="34"/>
      <c r="E87" s="34"/>
      <c r="F87" s="36">
        <v>1.18</v>
      </c>
      <c r="G87" s="36"/>
      <c r="H87" s="36">
        <v>0.76</v>
      </c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24"/>
      <c r="AE87" s="24"/>
    </row>
    <row r="88" spans="1:31" ht="16.05" customHeight="1" x14ac:dyDescent="0.3">
      <c r="A88" s="37"/>
      <c r="B88" s="38" t="s">
        <v>207</v>
      </c>
      <c r="C88" s="39" t="s">
        <v>139</v>
      </c>
      <c r="D88" s="38" t="s">
        <v>76</v>
      </c>
      <c r="E88" s="38">
        <v>1</v>
      </c>
      <c r="F88" s="38">
        <v>1.18</v>
      </c>
      <c r="G88" s="38"/>
      <c r="H88" s="38">
        <v>0.76</v>
      </c>
      <c r="I88" s="38"/>
      <c r="J88" s="38"/>
      <c r="K88" s="40">
        <f>I88</f>
        <v>0</v>
      </c>
      <c r="L88" s="38"/>
      <c r="M88" s="38"/>
      <c r="N88" s="38"/>
      <c r="O88" s="38"/>
      <c r="P88" s="41"/>
      <c r="Q88" s="38"/>
      <c r="R88" s="38"/>
      <c r="S88" s="41"/>
      <c r="T88" s="38"/>
      <c r="U88" s="38"/>
      <c r="V88" s="38"/>
      <c r="W88" s="38"/>
      <c r="X88" s="38"/>
      <c r="Y88" s="38"/>
      <c r="Z88" s="38"/>
      <c r="AA88" s="38"/>
      <c r="AB88" s="38"/>
      <c r="AC88" s="42"/>
      <c r="AD88" s="24"/>
      <c r="AE88" s="24"/>
    </row>
    <row r="89" spans="1:31" ht="16.05" customHeight="1" x14ac:dyDescent="0.3">
      <c r="A89" s="43"/>
      <c r="B89" s="44" t="s">
        <v>208</v>
      </c>
      <c r="C89" s="45" t="s">
        <v>141</v>
      </c>
      <c r="D89" s="44" t="s">
        <v>76</v>
      </c>
      <c r="E89" s="44">
        <v>1</v>
      </c>
      <c r="F89" s="44">
        <v>1.18</v>
      </c>
      <c r="G89" s="44">
        <v>0.62</v>
      </c>
      <c r="H89" s="44"/>
      <c r="I89" s="44"/>
      <c r="J89" s="44"/>
      <c r="K89" s="44"/>
      <c r="L89" s="44"/>
      <c r="M89" s="40">
        <f>I89</f>
        <v>0</v>
      </c>
      <c r="N89" s="44"/>
      <c r="O89" s="44"/>
      <c r="P89" s="41"/>
      <c r="Q89" s="44"/>
      <c r="R89" s="44"/>
      <c r="S89" s="41"/>
      <c r="T89" s="44"/>
      <c r="U89" s="44"/>
      <c r="V89" s="44"/>
      <c r="W89" s="44"/>
      <c r="X89" s="44"/>
      <c r="Y89" s="44"/>
      <c r="Z89" s="44"/>
      <c r="AA89" s="44"/>
      <c r="AB89" s="44"/>
      <c r="AC89" s="46"/>
      <c r="AD89" s="24"/>
      <c r="AE89" s="24"/>
    </row>
    <row r="90" spans="1:31" ht="16.05" customHeight="1" x14ac:dyDescent="0.3">
      <c r="A90" s="37"/>
      <c r="B90" s="38" t="s">
        <v>209</v>
      </c>
      <c r="C90" s="39" t="s">
        <v>171</v>
      </c>
      <c r="D90" s="38" t="s">
        <v>76</v>
      </c>
      <c r="E90" s="38">
        <v>0</v>
      </c>
      <c r="F90" s="38">
        <v>1.18</v>
      </c>
      <c r="G90" s="38">
        <v>0.62</v>
      </c>
      <c r="H90" s="38"/>
      <c r="I90" s="38"/>
      <c r="J90" s="38"/>
      <c r="K90" s="38"/>
      <c r="L90" s="38"/>
      <c r="M90" s="40">
        <f>I90</f>
        <v>0</v>
      </c>
      <c r="N90" s="38"/>
      <c r="O90" s="38"/>
      <c r="P90" s="41"/>
      <c r="Q90" s="38"/>
      <c r="R90" s="38"/>
      <c r="S90" s="41"/>
      <c r="T90" s="38"/>
      <c r="U90" s="38"/>
      <c r="V90" s="38"/>
      <c r="W90" s="38"/>
      <c r="X90" s="38"/>
      <c r="Y90" s="38"/>
      <c r="Z90" s="38"/>
      <c r="AA90" s="38"/>
      <c r="AB90" s="38"/>
      <c r="AC90" s="42" t="s">
        <v>172</v>
      </c>
      <c r="AD90" s="24"/>
      <c r="AE90" s="24"/>
    </row>
    <row r="91" spans="1:31" ht="16.05" customHeight="1" x14ac:dyDescent="0.3">
      <c r="A91" s="43"/>
      <c r="B91" s="44" t="s">
        <v>210</v>
      </c>
      <c r="C91" s="45" t="s">
        <v>145</v>
      </c>
      <c r="D91" s="44" t="s">
        <v>76</v>
      </c>
      <c r="E91" s="44">
        <v>2</v>
      </c>
      <c r="F91" s="44"/>
      <c r="G91" s="44">
        <v>0.62</v>
      </c>
      <c r="H91" s="44">
        <v>0.76</v>
      </c>
      <c r="I91" s="44"/>
      <c r="J91" s="44"/>
      <c r="K91" s="44"/>
      <c r="L91" s="44"/>
      <c r="M91" s="40">
        <f>I91</f>
        <v>0</v>
      </c>
      <c r="N91" s="44"/>
      <c r="O91" s="44"/>
      <c r="P91" s="41"/>
      <c r="Q91" s="44"/>
      <c r="R91" s="44"/>
      <c r="S91" s="41"/>
      <c r="T91" s="44"/>
      <c r="U91" s="44"/>
      <c r="V91" s="44"/>
      <c r="W91" s="44"/>
      <c r="X91" s="44"/>
      <c r="Y91" s="44"/>
      <c r="Z91" s="44"/>
      <c r="AA91" s="44"/>
      <c r="AB91" s="44"/>
      <c r="AC91" s="46"/>
      <c r="AD91" s="24"/>
      <c r="AE91" s="24"/>
    </row>
    <row r="92" spans="1:31" ht="16.05" customHeight="1" x14ac:dyDescent="0.3">
      <c r="A92" s="37"/>
      <c r="B92" s="38" t="s">
        <v>211</v>
      </c>
      <c r="C92" s="39" t="s">
        <v>147</v>
      </c>
      <c r="D92" s="38" t="s">
        <v>76</v>
      </c>
      <c r="E92" s="38">
        <v>2</v>
      </c>
      <c r="F92" s="38"/>
      <c r="G92" s="38">
        <v>0.62</v>
      </c>
      <c r="H92" s="38">
        <v>0.76</v>
      </c>
      <c r="I92" s="38"/>
      <c r="J92" s="38"/>
      <c r="K92" s="38"/>
      <c r="L92" s="38"/>
      <c r="M92" s="40">
        <f>I92</f>
        <v>0</v>
      </c>
      <c r="N92" s="38"/>
      <c r="O92" s="38"/>
      <c r="P92" s="41"/>
      <c r="Q92" s="38"/>
      <c r="R92" s="38"/>
      <c r="S92" s="41"/>
      <c r="T92" s="38"/>
      <c r="U92" s="38"/>
      <c r="V92" s="38"/>
      <c r="W92" s="38"/>
      <c r="X92" s="38"/>
      <c r="Y92" s="38"/>
      <c r="Z92" s="38"/>
      <c r="AA92" s="38"/>
      <c r="AB92" s="38"/>
      <c r="AC92" s="42"/>
      <c r="AD92" s="24"/>
      <c r="AE92" s="24"/>
    </row>
    <row r="93" spans="1:31" ht="16.05" customHeight="1" x14ac:dyDescent="0.3">
      <c r="A93" s="43"/>
      <c r="B93" s="44" t="s">
        <v>212</v>
      </c>
      <c r="C93" s="45" t="s">
        <v>176</v>
      </c>
      <c r="D93" s="44" t="s">
        <v>76</v>
      </c>
      <c r="E93" s="44">
        <v>0</v>
      </c>
      <c r="F93" s="44">
        <v>1.18</v>
      </c>
      <c r="G93" s="44">
        <v>0.62</v>
      </c>
      <c r="H93" s="44"/>
      <c r="I93" s="44"/>
      <c r="J93" s="44"/>
      <c r="K93" s="44"/>
      <c r="L93" s="44"/>
      <c r="M93" s="40">
        <f>I93</f>
        <v>0</v>
      </c>
      <c r="N93" s="44"/>
      <c r="O93" s="44"/>
      <c r="P93" s="41"/>
      <c r="Q93" s="44"/>
      <c r="R93" s="44"/>
      <c r="S93" s="41"/>
      <c r="T93" s="44"/>
      <c r="U93" s="44"/>
      <c r="V93" s="44"/>
      <c r="W93" s="44"/>
      <c r="X93" s="44"/>
      <c r="Y93" s="44"/>
      <c r="Z93" s="44"/>
      <c r="AA93" s="44"/>
      <c r="AB93" s="44"/>
      <c r="AC93" s="46" t="s">
        <v>213</v>
      </c>
      <c r="AD93" s="24"/>
      <c r="AE93" s="24"/>
    </row>
    <row r="94" spans="1:31" ht="16.05" customHeight="1" x14ac:dyDescent="0.3">
      <c r="A94" s="37"/>
      <c r="B94" s="38" t="s">
        <v>214</v>
      </c>
      <c r="C94" s="39" t="s">
        <v>151</v>
      </c>
      <c r="D94" s="38" t="s">
        <v>89</v>
      </c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41"/>
      <c r="Q94" s="38"/>
      <c r="R94" s="38"/>
      <c r="S94" s="41"/>
      <c r="T94" s="38"/>
      <c r="U94" s="38"/>
      <c r="V94" s="40">
        <v>9.4</v>
      </c>
      <c r="W94" s="38"/>
      <c r="X94" s="38"/>
      <c r="Y94" s="38"/>
      <c r="Z94" s="38"/>
      <c r="AA94" s="38"/>
      <c r="AB94" s="38"/>
      <c r="AC94" s="42" t="s">
        <v>215</v>
      </c>
      <c r="AD94" s="24"/>
      <c r="AE94" s="24"/>
    </row>
    <row r="95" spans="1:31" ht="16.05" customHeight="1" x14ac:dyDescent="0.3">
      <c r="A95" s="34"/>
      <c r="B95" s="34"/>
      <c r="C95" s="35" t="s">
        <v>216</v>
      </c>
      <c r="D95" s="34"/>
      <c r="E95" s="34"/>
      <c r="F95" s="36">
        <v>0.59</v>
      </c>
      <c r="G95" s="36"/>
      <c r="H95" s="36">
        <v>0.17499999999999999</v>
      </c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24"/>
      <c r="AE95" s="24"/>
    </row>
    <row r="96" spans="1:31" ht="16.05" customHeight="1" x14ac:dyDescent="0.3">
      <c r="A96" s="37"/>
      <c r="B96" s="38" t="s">
        <v>217</v>
      </c>
      <c r="C96" s="39" t="s">
        <v>218</v>
      </c>
      <c r="D96" s="38" t="s">
        <v>76</v>
      </c>
      <c r="E96" s="38">
        <v>1</v>
      </c>
      <c r="F96" s="38">
        <v>0.59</v>
      </c>
      <c r="G96" s="38"/>
      <c r="H96" s="38">
        <v>0.17499999999999999</v>
      </c>
      <c r="I96" s="38"/>
      <c r="J96" s="38"/>
      <c r="K96" s="38"/>
      <c r="L96" s="38"/>
      <c r="M96" s="40">
        <f>I96</f>
        <v>0</v>
      </c>
      <c r="N96" s="38"/>
      <c r="O96" s="38"/>
      <c r="P96" s="41"/>
      <c r="Q96" s="38"/>
      <c r="R96" s="38"/>
      <c r="S96" s="41"/>
      <c r="T96" s="38"/>
      <c r="U96" s="38"/>
      <c r="V96" s="38"/>
      <c r="W96" s="38"/>
      <c r="X96" s="38"/>
      <c r="Y96" s="38"/>
      <c r="Z96" s="38"/>
      <c r="AA96" s="38"/>
      <c r="AB96" s="38"/>
      <c r="AC96" s="42" t="s">
        <v>219</v>
      </c>
      <c r="AD96" s="24"/>
      <c r="AE96" s="24"/>
    </row>
    <row r="97" spans="1:31" ht="16.05" customHeight="1" x14ac:dyDescent="0.3">
      <c r="A97" s="43"/>
      <c r="B97" s="44" t="s">
        <v>220</v>
      </c>
      <c r="C97" s="45" t="s">
        <v>221</v>
      </c>
      <c r="D97" s="44" t="s">
        <v>76</v>
      </c>
      <c r="E97" s="44">
        <v>4</v>
      </c>
      <c r="F97" s="44">
        <v>0.59</v>
      </c>
      <c r="G97" s="44"/>
      <c r="H97" s="44">
        <v>0.17499999999999999</v>
      </c>
      <c r="I97" s="44"/>
      <c r="J97" s="44"/>
      <c r="K97" s="44"/>
      <c r="L97" s="40">
        <f>I97</f>
        <v>0</v>
      </c>
      <c r="M97" s="44"/>
      <c r="N97" s="44"/>
      <c r="O97" s="44"/>
      <c r="P97" s="41"/>
      <c r="Q97" s="44"/>
      <c r="R97" s="44"/>
      <c r="S97" s="41"/>
      <c r="T97" s="44"/>
      <c r="U97" s="44"/>
      <c r="V97" s="44"/>
      <c r="W97" s="44"/>
      <c r="X97" s="44"/>
      <c r="Y97" s="44"/>
      <c r="Z97" s="44"/>
      <c r="AA97" s="44"/>
      <c r="AB97" s="44"/>
      <c r="AC97" s="46"/>
      <c r="AD97" s="24"/>
      <c r="AE97" s="24"/>
    </row>
    <row r="98" spans="1:31" ht="16.05" customHeight="1" x14ac:dyDescent="0.3">
      <c r="A98" s="37"/>
      <c r="B98" s="38" t="s">
        <v>222</v>
      </c>
      <c r="C98" s="39" t="s">
        <v>223</v>
      </c>
      <c r="D98" s="38" t="s">
        <v>76</v>
      </c>
      <c r="E98" s="38">
        <v>1</v>
      </c>
      <c r="F98" s="38">
        <v>0.59</v>
      </c>
      <c r="G98" s="38">
        <v>0.5</v>
      </c>
      <c r="H98" s="38"/>
      <c r="I98" s="38"/>
      <c r="J98" s="40">
        <f>I98</f>
        <v>0</v>
      </c>
      <c r="K98" s="38"/>
      <c r="L98" s="38"/>
      <c r="M98" s="38"/>
      <c r="N98" s="38"/>
      <c r="O98" s="38"/>
      <c r="P98" s="41"/>
      <c r="Q98" s="38"/>
      <c r="R98" s="38"/>
      <c r="S98" s="41"/>
      <c r="T98" s="38"/>
      <c r="U98" s="38"/>
      <c r="V98" s="38"/>
      <c r="W98" s="38"/>
      <c r="X98" s="38"/>
      <c r="Y98" s="38"/>
      <c r="Z98" s="38"/>
      <c r="AA98" s="38"/>
      <c r="AB98" s="38"/>
      <c r="AC98" s="42"/>
      <c r="AD98" s="24"/>
      <c r="AE98" s="24"/>
    </row>
    <row r="99" spans="1:31" ht="16.05" customHeight="1" x14ac:dyDescent="0.3">
      <c r="A99" s="43"/>
      <c r="B99" s="44" t="s">
        <v>224</v>
      </c>
      <c r="C99" s="45" t="s">
        <v>225</v>
      </c>
      <c r="D99" s="44" t="s">
        <v>89</v>
      </c>
      <c r="E99" s="44"/>
      <c r="F99" s="44"/>
      <c r="G99" s="44"/>
      <c r="H99" s="44"/>
      <c r="I99" s="44"/>
      <c r="J99" s="44"/>
      <c r="K99" s="44"/>
      <c r="L99" s="44"/>
      <c r="M99" s="40">
        <f>I99</f>
        <v>0</v>
      </c>
      <c r="N99" s="44"/>
      <c r="O99" s="44"/>
      <c r="P99" s="41"/>
      <c r="Q99" s="44"/>
      <c r="R99" s="44"/>
      <c r="S99" s="41"/>
      <c r="T99" s="44"/>
      <c r="U99" s="44"/>
      <c r="V99" s="44"/>
      <c r="W99" s="44"/>
      <c r="X99" s="40">
        <v>1.53</v>
      </c>
      <c r="Y99" s="44"/>
      <c r="Z99" s="44"/>
      <c r="AA99" s="44"/>
      <c r="AB99" s="44"/>
      <c r="AC99" s="46" t="s">
        <v>226</v>
      </c>
      <c r="AD99" s="24"/>
      <c r="AE99" s="24"/>
    </row>
    <row r="100" spans="1:31" ht="16.05" customHeight="1" x14ac:dyDescent="0.3">
      <c r="A100" s="37"/>
      <c r="B100" s="38" t="s">
        <v>227</v>
      </c>
      <c r="C100" s="39" t="s">
        <v>228</v>
      </c>
      <c r="D100" s="38" t="s">
        <v>89</v>
      </c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41"/>
      <c r="Q100" s="38"/>
      <c r="R100" s="38"/>
      <c r="S100" s="41"/>
      <c r="T100" s="38"/>
      <c r="U100" s="38"/>
      <c r="V100" s="38"/>
      <c r="W100" s="38"/>
      <c r="X100" s="38"/>
      <c r="Y100" s="38"/>
      <c r="Z100" s="40">
        <v>2.1800000000000002</v>
      </c>
      <c r="AA100" s="38"/>
      <c r="AB100" s="38"/>
      <c r="AC100" s="42" t="s">
        <v>229</v>
      </c>
      <c r="AD100" s="24"/>
      <c r="AE100" s="24"/>
    </row>
    <row r="101" spans="1:31" ht="16.05" customHeight="1" x14ac:dyDescent="0.3">
      <c r="A101" s="34"/>
      <c r="B101" s="34"/>
      <c r="C101" s="35" t="s">
        <v>230</v>
      </c>
      <c r="D101" s="34"/>
      <c r="E101" s="34"/>
      <c r="F101" s="36">
        <v>0.59</v>
      </c>
      <c r="G101" s="36"/>
      <c r="H101" s="36">
        <v>0.375</v>
      </c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24"/>
      <c r="AE101" s="24"/>
    </row>
    <row r="102" spans="1:31" ht="16.05" customHeight="1" x14ac:dyDescent="0.3">
      <c r="A102" s="37"/>
      <c r="B102" s="38" t="s">
        <v>231</v>
      </c>
      <c r="C102" s="39" t="s">
        <v>232</v>
      </c>
      <c r="D102" s="38" t="s">
        <v>76</v>
      </c>
      <c r="E102" s="38">
        <v>1</v>
      </c>
      <c r="F102" s="38">
        <v>0.59</v>
      </c>
      <c r="G102" s="38"/>
      <c r="H102" s="38">
        <v>0.375</v>
      </c>
      <c r="I102" s="38"/>
      <c r="J102" s="38"/>
      <c r="K102" s="38"/>
      <c r="L102" s="38"/>
      <c r="M102" s="40">
        <f>I102</f>
        <v>0</v>
      </c>
      <c r="N102" s="38"/>
      <c r="O102" s="38"/>
      <c r="P102" s="41"/>
      <c r="Q102" s="38"/>
      <c r="R102" s="38"/>
      <c r="S102" s="41"/>
      <c r="T102" s="38"/>
      <c r="U102" s="38"/>
      <c r="V102" s="38"/>
      <c r="W102" s="38"/>
      <c r="X102" s="38"/>
      <c r="Y102" s="38"/>
      <c r="Z102" s="38"/>
      <c r="AA102" s="38"/>
      <c r="AB102" s="38"/>
      <c r="AC102" s="42" t="s">
        <v>233</v>
      </c>
      <c r="AD102" s="24"/>
      <c r="AE102" s="24"/>
    </row>
    <row r="103" spans="1:31" ht="16.05" customHeight="1" x14ac:dyDescent="0.3">
      <c r="A103" s="43"/>
      <c r="B103" s="44" t="s">
        <v>234</v>
      </c>
      <c r="C103" s="45" t="s">
        <v>235</v>
      </c>
      <c r="D103" s="44" t="s">
        <v>76</v>
      </c>
      <c r="E103" s="44">
        <v>4</v>
      </c>
      <c r="F103" s="44">
        <v>0.59</v>
      </c>
      <c r="G103" s="44"/>
      <c r="H103" s="44">
        <v>0.375</v>
      </c>
      <c r="I103" s="44"/>
      <c r="J103" s="44"/>
      <c r="K103" s="44"/>
      <c r="L103" s="40">
        <f>I103</f>
        <v>0</v>
      </c>
      <c r="M103" s="44"/>
      <c r="N103" s="44"/>
      <c r="O103" s="44"/>
      <c r="P103" s="41"/>
      <c r="Q103" s="44"/>
      <c r="R103" s="44"/>
      <c r="S103" s="41"/>
      <c r="T103" s="44"/>
      <c r="U103" s="44"/>
      <c r="V103" s="44"/>
      <c r="W103" s="44"/>
      <c r="X103" s="44"/>
      <c r="Y103" s="44"/>
      <c r="Z103" s="44"/>
      <c r="AA103" s="44"/>
      <c r="AB103" s="44"/>
      <c r="AC103" s="46"/>
      <c r="AD103" s="24"/>
      <c r="AE103" s="24"/>
    </row>
    <row r="104" spans="1:31" ht="16.05" customHeight="1" x14ac:dyDescent="0.3">
      <c r="A104" s="37"/>
      <c r="B104" s="38" t="s">
        <v>236</v>
      </c>
      <c r="C104" s="39" t="s">
        <v>237</v>
      </c>
      <c r="D104" s="38" t="s">
        <v>76</v>
      </c>
      <c r="E104" s="38">
        <v>1</v>
      </c>
      <c r="F104" s="38">
        <v>0.59</v>
      </c>
      <c r="G104" s="38">
        <v>0.5</v>
      </c>
      <c r="H104" s="38"/>
      <c r="I104" s="38"/>
      <c r="J104" s="40">
        <f>I104</f>
        <v>0</v>
      </c>
      <c r="K104" s="38"/>
      <c r="L104" s="38"/>
      <c r="M104" s="38"/>
      <c r="N104" s="38"/>
      <c r="O104" s="38"/>
      <c r="P104" s="41"/>
      <c r="Q104" s="38"/>
      <c r="R104" s="38"/>
      <c r="S104" s="41"/>
      <c r="T104" s="38"/>
      <c r="U104" s="38"/>
      <c r="V104" s="38"/>
      <c r="W104" s="38"/>
      <c r="X104" s="38"/>
      <c r="Y104" s="38"/>
      <c r="Z104" s="38"/>
      <c r="AA104" s="38"/>
      <c r="AB104" s="38"/>
      <c r="AC104" s="42"/>
      <c r="AD104" s="24"/>
      <c r="AE104" s="24"/>
    </row>
    <row r="105" spans="1:31" ht="16.05" customHeight="1" x14ac:dyDescent="0.3">
      <c r="A105" s="43"/>
      <c r="B105" s="44" t="s">
        <v>238</v>
      </c>
      <c r="C105" s="45" t="s">
        <v>239</v>
      </c>
      <c r="D105" s="44" t="s">
        <v>89</v>
      </c>
      <c r="E105" s="44"/>
      <c r="F105" s="44"/>
      <c r="G105" s="44"/>
      <c r="H105" s="44"/>
      <c r="I105" s="44"/>
      <c r="J105" s="44"/>
      <c r="K105" s="44"/>
      <c r="L105" s="44"/>
      <c r="M105" s="40">
        <f>I105</f>
        <v>0</v>
      </c>
      <c r="N105" s="44"/>
      <c r="O105" s="44"/>
      <c r="P105" s="41"/>
      <c r="Q105" s="44"/>
      <c r="R105" s="44"/>
      <c r="S105" s="41"/>
      <c r="T105" s="44"/>
      <c r="U105" s="44"/>
      <c r="V105" s="44"/>
      <c r="W105" s="44"/>
      <c r="X105" s="40">
        <v>1.93</v>
      </c>
      <c r="Y105" s="44"/>
      <c r="Z105" s="44"/>
      <c r="AA105" s="44"/>
      <c r="AB105" s="44"/>
      <c r="AC105" s="46" t="s">
        <v>240</v>
      </c>
      <c r="AD105" s="24"/>
      <c r="AE105" s="24"/>
    </row>
    <row r="106" spans="1:31" ht="16.05" customHeight="1" x14ac:dyDescent="0.3">
      <c r="A106" s="37"/>
      <c r="B106" s="38" t="s">
        <v>241</v>
      </c>
      <c r="C106" s="39" t="s">
        <v>242</v>
      </c>
      <c r="D106" s="38" t="s">
        <v>89</v>
      </c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41"/>
      <c r="Q106" s="38"/>
      <c r="R106" s="38"/>
      <c r="S106" s="41"/>
      <c r="T106" s="38"/>
      <c r="U106" s="38"/>
      <c r="V106" s="38"/>
      <c r="W106" s="38"/>
      <c r="X106" s="38"/>
      <c r="Y106" s="38"/>
      <c r="Z106" s="40">
        <v>2.1800000000000002</v>
      </c>
      <c r="AA106" s="38"/>
      <c r="AB106" s="38"/>
      <c r="AC106" s="42" t="s">
        <v>229</v>
      </c>
      <c r="AD106" s="24"/>
      <c r="AE106" s="24"/>
    </row>
    <row r="107" spans="1:31" ht="16.05" customHeight="1" x14ac:dyDescent="0.3">
      <c r="A107" s="34"/>
      <c r="B107" s="34"/>
      <c r="C107" s="35" t="s">
        <v>153</v>
      </c>
      <c r="D107" s="34"/>
      <c r="E107" s="34"/>
      <c r="F107" s="36">
        <v>1.18</v>
      </c>
      <c r="G107" s="36"/>
      <c r="H107" s="36">
        <v>0.76</v>
      </c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24"/>
      <c r="AE107" s="24"/>
    </row>
    <row r="108" spans="1:31" ht="16.05" customHeight="1" x14ac:dyDescent="0.3">
      <c r="A108" s="37"/>
      <c r="B108" s="38" t="s">
        <v>243</v>
      </c>
      <c r="C108" s="39" t="s">
        <v>155</v>
      </c>
      <c r="D108" s="38" t="s">
        <v>76</v>
      </c>
      <c r="E108" s="38">
        <v>1</v>
      </c>
      <c r="F108" s="38">
        <v>1.18</v>
      </c>
      <c r="G108" s="38"/>
      <c r="H108" s="38">
        <v>0.76</v>
      </c>
      <c r="I108" s="38"/>
      <c r="J108" s="38"/>
      <c r="K108" s="38"/>
      <c r="L108" s="38"/>
      <c r="M108" s="38"/>
      <c r="N108" s="40">
        <f>I108</f>
        <v>0</v>
      </c>
      <c r="O108" s="38"/>
      <c r="P108" s="41"/>
      <c r="Q108" s="38"/>
      <c r="R108" s="38"/>
      <c r="S108" s="41"/>
      <c r="T108" s="38"/>
      <c r="U108" s="38"/>
      <c r="V108" s="38"/>
      <c r="W108" s="38"/>
      <c r="X108" s="38"/>
      <c r="Y108" s="38"/>
      <c r="Z108" s="38"/>
      <c r="AA108" s="38"/>
      <c r="AB108" s="38"/>
      <c r="AC108" s="42" t="s">
        <v>244</v>
      </c>
      <c r="AD108" s="24"/>
      <c r="AE108" s="24"/>
    </row>
    <row r="109" spans="1:31" ht="16.05" customHeight="1" x14ac:dyDescent="0.3">
      <c r="A109" s="43"/>
      <c r="B109" s="44" t="s">
        <v>245</v>
      </c>
      <c r="C109" s="45" t="s">
        <v>158</v>
      </c>
      <c r="D109" s="44" t="s">
        <v>89</v>
      </c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1"/>
      <c r="Q109" s="44"/>
      <c r="R109" s="44"/>
      <c r="S109" s="41"/>
      <c r="T109" s="44"/>
      <c r="U109" s="44"/>
      <c r="V109" s="40">
        <v>3.88</v>
      </c>
      <c r="W109" s="44"/>
      <c r="X109" s="44"/>
      <c r="Y109" s="44"/>
      <c r="Z109" s="44"/>
      <c r="AA109" s="44"/>
      <c r="AB109" s="44"/>
      <c r="AC109" s="46" t="s">
        <v>246</v>
      </c>
      <c r="AD109" s="24"/>
      <c r="AE109" s="24"/>
    </row>
    <row r="110" spans="1:31" ht="16.05" customHeight="1" x14ac:dyDescent="0.3">
      <c r="A110" s="37"/>
      <c r="B110" s="38" t="s">
        <v>247</v>
      </c>
      <c r="C110" s="39" t="s">
        <v>198</v>
      </c>
      <c r="D110" s="38" t="s">
        <v>76</v>
      </c>
      <c r="E110" s="38">
        <v>1</v>
      </c>
      <c r="F110" s="38">
        <v>1.18</v>
      </c>
      <c r="G110" s="38">
        <v>0.62</v>
      </c>
      <c r="H110" s="38"/>
      <c r="I110" s="38"/>
      <c r="J110" s="38"/>
      <c r="K110" s="38"/>
      <c r="L110" s="38"/>
      <c r="M110" s="38"/>
      <c r="N110" s="38"/>
      <c r="O110" s="40">
        <f>I110</f>
        <v>0</v>
      </c>
      <c r="P110" s="41"/>
      <c r="Q110" s="38"/>
      <c r="R110" s="38"/>
      <c r="S110" s="41"/>
      <c r="T110" s="38"/>
      <c r="U110" s="38"/>
      <c r="V110" s="38"/>
      <c r="W110" s="38"/>
      <c r="X110" s="38"/>
      <c r="Y110" s="38"/>
      <c r="Z110" s="38"/>
      <c r="AA110" s="38"/>
      <c r="AB110" s="38"/>
      <c r="AC110" s="42"/>
      <c r="AD110" s="24"/>
      <c r="AE110" s="24"/>
    </row>
    <row r="111" spans="1:31" ht="16.05" customHeight="1" x14ac:dyDescent="0.3">
      <c r="A111" s="34"/>
      <c r="B111" s="34"/>
      <c r="C111" s="35" t="s">
        <v>128</v>
      </c>
      <c r="D111" s="34"/>
      <c r="E111" s="34"/>
      <c r="F111" s="36"/>
      <c r="G111" s="36"/>
      <c r="H111" s="36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24"/>
      <c r="AE111" s="24"/>
    </row>
    <row r="112" spans="1:31" ht="16.05" customHeight="1" x14ac:dyDescent="0.3">
      <c r="A112" s="37"/>
      <c r="B112" s="38" t="s">
        <v>248</v>
      </c>
      <c r="C112" s="39" t="s">
        <v>130</v>
      </c>
      <c r="D112" s="38" t="s">
        <v>131</v>
      </c>
      <c r="E112" s="38">
        <v>2</v>
      </c>
      <c r="F112" s="38"/>
      <c r="G112" s="38"/>
      <c r="H112" s="38"/>
      <c r="I112" s="47">
        <v>2</v>
      </c>
      <c r="J112" s="38"/>
      <c r="K112" s="38"/>
      <c r="L112" s="38"/>
      <c r="M112" s="38"/>
      <c r="N112" s="38"/>
      <c r="O112" s="38"/>
      <c r="P112" s="41"/>
      <c r="Q112" s="38"/>
      <c r="R112" s="38"/>
      <c r="S112" s="41"/>
      <c r="T112" s="40">
        <f>I112</f>
        <v>2</v>
      </c>
      <c r="U112" s="38"/>
      <c r="V112" s="38"/>
      <c r="W112" s="38"/>
      <c r="X112" s="38"/>
      <c r="Y112" s="38"/>
      <c r="Z112" s="38"/>
      <c r="AA112" s="38"/>
      <c r="AB112" s="38"/>
      <c r="AC112" s="42"/>
      <c r="AD112" s="24"/>
      <c r="AE112" s="24"/>
    </row>
    <row r="113" spans="1:31" ht="16.05" customHeight="1" x14ac:dyDescent="0.3">
      <c r="A113" s="34"/>
      <c r="B113" s="34"/>
      <c r="C113" s="35" t="s">
        <v>180</v>
      </c>
      <c r="D113" s="34"/>
      <c r="E113" s="34"/>
      <c r="F113" s="36"/>
      <c r="G113" s="36"/>
      <c r="H113" s="36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24"/>
      <c r="AE113" s="24"/>
    </row>
    <row r="114" spans="1:31" ht="16.05" customHeight="1" x14ac:dyDescent="0.3">
      <c r="A114" s="37"/>
      <c r="B114" s="38" t="s">
        <v>249</v>
      </c>
      <c r="C114" s="39" t="s">
        <v>201</v>
      </c>
      <c r="D114" s="38" t="s">
        <v>202</v>
      </c>
      <c r="E114" s="38">
        <v>2</v>
      </c>
      <c r="F114" s="38"/>
      <c r="G114" s="38"/>
      <c r="H114" s="38"/>
      <c r="I114" s="47">
        <v>2</v>
      </c>
      <c r="J114" s="38"/>
      <c r="K114" s="38"/>
      <c r="L114" s="38"/>
      <c r="M114" s="38"/>
      <c r="N114" s="38"/>
      <c r="O114" s="38"/>
      <c r="P114" s="41"/>
      <c r="Q114" s="38"/>
      <c r="R114" s="38"/>
      <c r="S114" s="41"/>
      <c r="T114" s="38"/>
      <c r="U114" s="40">
        <f>I114</f>
        <v>2</v>
      </c>
      <c r="V114" s="38"/>
      <c r="W114" s="38"/>
      <c r="X114" s="38"/>
      <c r="Y114" s="38"/>
      <c r="Z114" s="38"/>
      <c r="AA114" s="38"/>
      <c r="AB114" s="38"/>
      <c r="AC114" s="42"/>
      <c r="AD114" s="24"/>
      <c r="AE114" s="24"/>
    </row>
    <row r="115" spans="1:31" ht="16.05" customHeight="1" x14ac:dyDescent="0.3">
      <c r="A115" s="34"/>
      <c r="B115" s="34"/>
      <c r="C115" s="35" t="s">
        <v>128</v>
      </c>
      <c r="D115" s="34"/>
      <c r="E115" s="34"/>
      <c r="F115" s="36"/>
      <c r="G115" s="36"/>
      <c r="H115" s="36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24"/>
      <c r="AE115" s="24"/>
    </row>
    <row r="116" spans="1:31" ht="16.05" customHeight="1" x14ac:dyDescent="0.3">
      <c r="A116" s="37"/>
      <c r="B116" s="38" t="s">
        <v>250</v>
      </c>
      <c r="C116" s="39" t="s">
        <v>251</v>
      </c>
      <c r="D116" s="38" t="s">
        <v>131</v>
      </c>
      <c r="E116" s="38">
        <v>2</v>
      </c>
      <c r="F116" s="38"/>
      <c r="G116" s="38"/>
      <c r="H116" s="38"/>
      <c r="I116" s="47">
        <v>2</v>
      </c>
      <c r="J116" s="38"/>
      <c r="K116" s="38"/>
      <c r="L116" s="38"/>
      <c r="M116" s="38"/>
      <c r="N116" s="38"/>
      <c r="O116" s="38"/>
      <c r="P116" s="41"/>
      <c r="Q116" s="38"/>
      <c r="R116" s="38"/>
      <c r="S116" s="41"/>
      <c r="T116" s="38"/>
      <c r="U116" s="38"/>
      <c r="V116" s="38"/>
      <c r="W116" s="38"/>
      <c r="X116" s="38"/>
      <c r="Y116" s="38"/>
      <c r="Z116" s="38"/>
      <c r="AA116" s="38"/>
      <c r="AB116" s="38"/>
      <c r="AC116" s="42"/>
      <c r="AD116" s="24"/>
      <c r="AE116" s="24"/>
    </row>
    <row r="117" spans="1:31" ht="16.05" customHeight="1" x14ac:dyDescent="0.3">
      <c r="A117" s="43"/>
      <c r="B117" s="44" t="s">
        <v>252</v>
      </c>
      <c r="C117" s="45" t="s">
        <v>204</v>
      </c>
      <c r="D117" s="44" t="s">
        <v>89</v>
      </c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1"/>
      <c r="Q117" s="44"/>
      <c r="R117" s="44"/>
      <c r="S117" s="41"/>
      <c r="T117" s="44"/>
      <c r="U117" s="44"/>
      <c r="V117" s="44"/>
      <c r="W117" s="44"/>
      <c r="X117" s="44"/>
      <c r="Y117" s="40">
        <f>I117</f>
        <v>0</v>
      </c>
      <c r="Z117" s="44"/>
      <c r="AA117" s="44"/>
      <c r="AB117" s="44"/>
      <c r="AC117" s="46" t="s">
        <v>253</v>
      </c>
      <c r="AD117" s="24"/>
      <c r="AE117" s="24"/>
    </row>
    <row r="118" spans="1:31" ht="19.95" customHeight="1" x14ac:dyDescent="0.3">
      <c r="I118" s="48" t="s">
        <v>133</v>
      </c>
      <c r="J118" s="49">
        <f t="shared" ref="J118:O118" si="6">SUM(J87:J117)</f>
        <v>0</v>
      </c>
      <c r="K118" s="49">
        <f t="shared" si="6"/>
        <v>0</v>
      </c>
      <c r="L118" s="49">
        <f t="shared" si="6"/>
        <v>0</v>
      </c>
      <c r="M118" s="49">
        <f t="shared" si="6"/>
        <v>0</v>
      </c>
      <c r="N118" s="49">
        <f t="shared" si="6"/>
        <v>0</v>
      </c>
      <c r="O118" s="49">
        <f t="shared" si="6"/>
        <v>0</v>
      </c>
      <c r="P118" s="50"/>
      <c r="Q118" s="49">
        <f>SUM(Q87:Q117)</f>
        <v>0</v>
      </c>
      <c r="R118" s="49">
        <f>SUM(R87:R117)</f>
        <v>0</v>
      </c>
      <c r="S118" s="50"/>
      <c r="T118" s="49">
        <f t="shared" ref="T118:AB118" si="7">SUM(T87:T117)</f>
        <v>2</v>
      </c>
      <c r="U118" s="49">
        <f t="shared" si="7"/>
        <v>2</v>
      </c>
      <c r="V118" s="49">
        <f t="shared" si="7"/>
        <v>13.280000000000001</v>
      </c>
      <c r="W118" s="49">
        <f t="shared" si="7"/>
        <v>0</v>
      </c>
      <c r="X118" s="49">
        <f t="shared" si="7"/>
        <v>3.46</v>
      </c>
      <c r="Y118" s="49">
        <f t="shared" si="7"/>
        <v>0</v>
      </c>
      <c r="Z118" s="49">
        <f t="shared" si="7"/>
        <v>4.3600000000000003</v>
      </c>
      <c r="AA118" s="49">
        <f t="shared" si="7"/>
        <v>0</v>
      </c>
      <c r="AB118" s="49">
        <f t="shared" si="7"/>
        <v>0</v>
      </c>
      <c r="AD118" s="24"/>
      <c r="AE118" s="24"/>
    </row>
    <row r="119" spans="1:31" ht="22.05" customHeight="1" x14ac:dyDescent="0.3">
      <c r="H119" s="51">
        <f>H2</f>
        <v>58</v>
      </c>
      <c r="I119" s="52" t="s">
        <v>134</v>
      </c>
      <c r="J119" s="53">
        <f>J118*H2/2.88</f>
        <v>0</v>
      </c>
      <c r="K119" s="53">
        <f>K118*H2/2.88</f>
        <v>0</v>
      </c>
      <c r="L119" s="53">
        <f>L118*H2/2.88</f>
        <v>0</v>
      </c>
      <c r="M119" s="53">
        <f>M118*H2/2.88</f>
        <v>0</v>
      </c>
      <c r="N119" s="53">
        <f>N118*H2/2.88</f>
        <v>0</v>
      </c>
      <c r="O119" s="53">
        <f>O118*H2/2.88</f>
        <v>0</v>
      </c>
      <c r="P119" s="54"/>
      <c r="Q119" s="53">
        <f>Q118*H2/2.88</f>
        <v>0</v>
      </c>
      <c r="R119" s="53">
        <f>R118*H2/2.88</f>
        <v>0</v>
      </c>
      <c r="S119" s="54"/>
      <c r="T119" s="53">
        <f>T118*H2</f>
        <v>116</v>
      </c>
      <c r="U119" s="53">
        <f>U118*H2</f>
        <v>116</v>
      </c>
      <c r="V119" s="53">
        <f>V118*H2</f>
        <v>770.24</v>
      </c>
      <c r="W119" s="53">
        <f>W118*H2</f>
        <v>0</v>
      </c>
      <c r="X119" s="53">
        <f>X118*H2</f>
        <v>200.68</v>
      </c>
      <c r="Y119" s="53">
        <f>Y118*H2</f>
        <v>0</v>
      </c>
      <c r="Z119" s="53">
        <f>Z118*H2</f>
        <v>252.88000000000002</v>
      </c>
      <c r="AA119" s="53">
        <f>AA118*H2</f>
        <v>0</v>
      </c>
      <c r="AB119" s="53">
        <f>AB118*H2</f>
        <v>0</v>
      </c>
      <c r="AD119" s="24"/>
      <c r="AE119" s="24"/>
    </row>
    <row r="120" spans="1:31" ht="10.050000000000001" customHeight="1" x14ac:dyDescent="0.3">
      <c r="AD120" s="24"/>
      <c r="AE120" s="24"/>
    </row>
    <row r="121" spans="1:31" ht="31.95" customHeight="1" x14ac:dyDescent="0.3">
      <c r="A121" s="28"/>
      <c r="B121" s="29" t="s">
        <v>254</v>
      </c>
      <c r="C121" s="30" t="s">
        <v>255</v>
      </c>
      <c r="D121" s="28"/>
      <c r="E121" s="28"/>
      <c r="F121" s="28"/>
      <c r="G121" s="28"/>
      <c r="H121" s="28"/>
      <c r="I121" s="28"/>
      <c r="J121" s="28"/>
      <c r="K121" s="28"/>
      <c r="L121" s="28"/>
      <c r="M121" s="28"/>
      <c r="N121" s="28"/>
      <c r="O121" s="28"/>
      <c r="P121" s="28"/>
      <c r="Q121" s="28"/>
      <c r="R121" s="28"/>
      <c r="S121" s="28"/>
      <c r="T121" s="28"/>
      <c r="U121" s="28"/>
      <c r="V121" s="28"/>
      <c r="W121" s="28"/>
      <c r="X121" s="28"/>
      <c r="Y121" s="28"/>
      <c r="Z121" s="28"/>
      <c r="AA121" s="28"/>
      <c r="AB121" s="28"/>
      <c r="AC121" s="31" t="s">
        <v>256</v>
      </c>
      <c r="AD121" s="24"/>
      <c r="AE121" s="24"/>
    </row>
    <row r="122" spans="1:31" ht="60" customHeight="1" x14ac:dyDescent="0.3">
      <c r="A122" s="32"/>
      <c r="B122" s="32" t="s">
        <v>48</v>
      </c>
      <c r="C122" s="32" t="s">
        <v>30</v>
      </c>
      <c r="D122" s="32" t="s">
        <v>49</v>
      </c>
      <c r="E122" s="32" t="s">
        <v>50</v>
      </c>
      <c r="F122" s="32" t="s">
        <v>51</v>
      </c>
      <c r="G122" s="32" t="s">
        <v>52</v>
      </c>
      <c r="H122" s="32" t="s">
        <v>53</v>
      </c>
      <c r="I122" s="32" t="s">
        <v>54</v>
      </c>
      <c r="J122" s="32" t="s">
        <v>55</v>
      </c>
      <c r="K122" s="32" t="s">
        <v>56</v>
      </c>
      <c r="L122" s="32" t="s">
        <v>57</v>
      </c>
      <c r="M122" s="32" t="s">
        <v>58</v>
      </c>
      <c r="N122" s="32" t="s">
        <v>59</v>
      </c>
      <c r="O122" s="32" t="s">
        <v>60</v>
      </c>
      <c r="P122" s="33"/>
      <c r="Q122" s="32" t="s">
        <v>61</v>
      </c>
      <c r="R122" s="32" t="s">
        <v>62</v>
      </c>
      <c r="S122" s="33"/>
      <c r="T122" s="32" t="s">
        <v>63</v>
      </c>
      <c r="U122" s="32" t="s">
        <v>64</v>
      </c>
      <c r="V122" s="32" t="s">
        <v>65</v>
      </c>
      <c r="W122" s="32" t="s">
        <v>66</v>
      </c>
      <c r="X122" s="32" t="s">
        <v>67</v>
      </c>
      <c r="Y122" s="32" t="s">
        <v>68</v>
      </c>
      <c r="Z122" s="32" t="s">
        <v>69</v>
      </c>
      <c r="AA122" s="32" t="s">
        <v>70</v>
      </c>
      <c r="AB122" s="32" t="s">
        <v>71</v>
      </c>
      <c r="AC122" s="32" t="s">
        <v>72</v>
      </c>
      <c r="AD122" s="24"/>
      <c r="AE122" s="24"/>
    </row>
    <row r="123" spans="1:31" ht="16.05" customHeight="1" x14ac:dyDescent="0.3">
      <c r="A123" s="34"/>
      <c r="B123" s="34"/>
      <c r="C123" s="35" t="s">
        <v>137</v>
      </c>
      <c r="D123" s="34"/>
      <c r="E123" s="34"/>
      <c r="F123" s="36">
        <v>1.1499999999999999</v>
      </c>
      <c r="G123" s="36"/>
      <c r="H123" s="36">
        <v>0.8</v>
      </c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24"/>
      <c r="AE123" s="24"/>
    </row>
    <row r="124" spans="1:31" ht="16.05" customHeight="1" x14ac:dyDescent="0.3">
      <c r="A124" s="37"/>
      <c r="B124" s="38" t="s">
        <v>257</v>
      </c>
      <c r="C124" s="39" t="s">
        <v>139</v>
      </c>
      <c r="D124" s="38" t="s">
        <v>76</v>
      </c>
      <c r="E124" s="38">
        <v>1</v>
      </c>
      <c r="F124" s="38">
        <v>1.1499999999999999</v>
      </c>
      <c r="G124" s="38"/>
      <c r="H124" s="38">
        <v>0.8</v>
      </c>
      <c r="I124" s="38"/>
      <c r="J124" s="38"/>
      <c r="K124" s="40">
        <f>I124</f>
        <v>0</v>
      </c>
      <c r="L124" s="38"/>
      <c r="M124" s="38"/>
      <c r="N124" s="38"/>
      <c r="O124" s="38"/>
      <c r="P124" s="41"/>
      <c r="Q124" s="38"/>
      <c r="R124" s="38"/>
      <c r="S124" s="41"/>
      <c r="T124" s="38"/>
      <c r="U124" s="38"/>
      <c r="V124" s="38"/>
      <c r="W124" s="38"/>
      <c r="X124" s="38"/>
      <c r="Y124" s="38"/>
      <c r="Z124" s="38"/>
      <c r="AA124" s="38"/>
      <c r="AB124" s="38"/>
      <c r="AC124" s="42"/>
      <c r="AD124" s="24"/>
      <c r="AE124" s="24"/>
    </row>
    <row r="125" spans="1:31" ht="16.05" customHeight="1" x14ac:dyDescent="0.3">
      <c r="A125" s="43"/>
      <c r="B125" s="44" t="s">
        <v>258</v>
      </c>
      <c r="C125" s="45" t="s">
        <v>141</v>
      </c>
      <c r="D125" s="44" t="s">
        <v>76</v>
      </c>
      <c r="E125" s="44">
        <v>1</v>
      </c>
      <c r="F125" s="44">
        <v>1.1499999999999999</v>
      </c>
      <c r="G125" s="44">
        <v>0.56999999999999995</v>
      </c>
      <c r="H125" s="44"/>
      <c r="I125" s="44"/>
      <c r="J125" s="44"/>
      <c r="K125" s="44"/>
      <c r="L125" s="44"/>
      <c r="M125" s="40">
        <f>I125</f>
        <v>0</v>
      </c>
      <c r="N125" s="44"/>
      <c r="O125" s="44"/>
      <c r="P125" s="41"/>
      <c r="Q125" s="44"/>
      <c r="R125" s="44"/>
      <c r="S125" s="41"/>
      <c r="T125" s="44"/>
      <c r="U125" s="44"/>
      <c r="V125" s="44"/>
      <c r="W125" s="44"/>
      <c r="X125" s="44"/>
      <c r="Y125" s="44"/>
      <c r="Z125" s="44"/>
      <c r="AA125" s="44"/>
      <c r="AB125" s="44"/>
      <c r="AC125" s="46"/>
      <c r="AD125" s="24"/>
      <c r="AE125" s="24"/>
    </row>
    <row r="126" spans="1:31" ht="16.05" customHeight="1" x14ac:dyDescent="0.3">
      <c r="A126" s="37"/>
      <c r="B126" s="38" t="s">
        <v>259</v>
      </c>
      <c r="C126" s="39" t="s">
        <v>143</v>
      </c>
      <c r="D126" s="38" t="s">
        <v>76</v>
      </c>
      <c r="E126" s="38"/>
      <c r="F126" s="38">
        <v>1.1499999999999999</v>
      </c>
      <c r="G126" s="38">
        <v>0.56999999999999995</v>
      </c>
      <c r="H126" s="38"/>
      <c r="I126" s="38"/>
      <c r="J126" s="38"/>
      <c r="K126" s="38"/>
      <c r="L126" s="38"/>
      <c r="M126" s="40">
        <f>I126</f>
        <v>0</v>
      </c>
      <c r="N126" s="38"/>
      <c r="O126" s="38"/>
      <c r="P126" s="41"/>
      <c r="Q126" s="38"/>
      <c r="R126" s="38"/>
      <c r="S126" s="41"/>
      <c r="T126" s="38"/>
      <c r="U126" s="38"/>
      <c r="V126" s="38"/>
      <c r="W126" s="38"/>
      <c r="X126" s="38"/>
      <c r="Y126" s="38"/>
      <c r="Z126" s="38"/>
      <c r="AA126" s="38"/>
      <c r="AB126" s="38"/>
      <c r="AC126" s="42" t="s">
        <v>260</v>
      </c>
      <c r="AD126" s="24"/>
      <c r="AE126" s="24"/>
    </row>
    <row r="127" spans="1:31" ht="16.05" customHeight="1" x14ac:dyDescent="0.3">
      <c r="A127" s="43"/>
      <c r="B127" s="44" t="s">
        <v>261</v>
      </c>
      <c r="C127" s="45" t="s">
        <v>145</v>
      </c>
      <c r="D127" s="44" t="s">
        <v>76</v>
      </c>
      <c r="E127" s="44">
        <v>2</v>
      </c>
      <c r="F127" s="44"/>
      <c r="G127" s="44">
        <v>0.56999999999999995</v>
      </c>
      <c r="H127" s="44">
        <v>0.8</v>
      </c>
      <c r="I127" s="44"/>
      <c r="J127" s="44"/>
      <c r="K127" s="44"/>
      <c r="L127" s="44"/>
      <c r="M127" s="40">
        <f>I127</f>
        <v>0</v>
      </c>
      <c r="N127" s="44"/>
      <c r="O127" s="44"/>
      <c r="P127" s="41"/>
      <c r="Q127" s="44"/>
      <c r="R127" s="44"/>
      <c r="S127" s="41"/>
      <c r="T127" s="44"/>
      <c r="U127" s="44"/>
      <c r="V127" s="44"/>
      <c r="W127" s="44"/>
      <c r="X127" s="44"/>
      <c r="Y127" s="44"/>
      <c r="Z127" s="44"/>
      <c r="AA127" s="44"/>
      <c r="AB127" s="44"/>
      <c r="AC127" s="46"/>
      <c r="AD127" s="24"/>
      <c r="AE127" s="24"/>
    </row>
    <row r="128" spans="1:31" ht="16.05" customHeight="1" x14ac:dyDescent="0.3">
      <c r="A128" s="37"/>
      <c r="B128" s="38" t="s">
        <v>262</v>
      </c>
      <c r="C128" s="39" t="s">
        <v>263</v>
      </c>
      <c r="D128" s="38" t="s">
        <v>76</v>
      </c>
      <c r="E128" s="38">
        <v>0</v>
      </c>
      <c r="F128" s="38"/>
      <c r="G128" s="38">
        <v>0.56999999999999995</v>
      </c>
      <c r="H128" s="38">
        <v>0.8</v>
      </c>
      <c r="I128" s="38"/>
      <c r="J128" s="38"/>
      <c r="K128" s="38"/>
      <c r="L128" s="38"/>
      <c r="M128" s="40">
        <f>I128</f>
        <v>0</v>
      </c>
      <c r="N128" s="38"/>
      <c r="O128" s="38"/>
      <c r="P128" s="41"/>
      <c r="Q128" s="38"/>
      <c r="R128" s="38"/>
      <c r="S128" s="41"/>
      <c r="T128" s="38"/>
      <c r="U128" s="38"/>
      <c r="V128" s="38"/>
      <c r="W128" s="38"/>
      <c r="X128" s="38"/>
      <c r="Y128" s="38"/>
      <c r="Z128" s="38"/>
      <c r="AA128" s="38"/>
      <c r="AB128" s="38"/>
      <c r="AC128" s="42"/>
      <c r="AD128" s="24"/>
      <c r="AE128" s="24"/>
    </row>
    <row r="129" spans="1:31" ht="16.05" customHeight="1" x14ac:dyDescent="0.3">
      <c r="A129" s="43"/>
      <c r="B129" s="44" t="s">
        <v>264</v>
      </c>
      <c r="C129" s="45" t="s">
        <v>176</v>
      </c>
      <c r="D129" s="44" t="s">
        <v>76</v>
      </c>
      <c r="E129" s="44">
        <v>0</v>
      </c>
      <c r="F129" s="44">
        <v>1.1499999999999999</v>
      </c>
      <c r="G129" s="44">
        <v>0.56999999999999995</v>
      </c>
      <c r="H129" s="44"/>
      <c r="I129" s="44"/>
      <c r="J129" s="44"/>
      <c r="K129" s="44"/>
      <c r="L129" s="44"/>
      <c r="M129" s="40">
        <f>I129</f>
        <v>0</v>
      </c>
      <c r="N129" s="44"/>
      <c r="O129" s="44"/>
      <c r="P129" s="41"/>
      <c r="Q129" s="44"/>
      <c r="R129" s="44"/>
      <c r="S129" s="41"/>
      <c r="T129" s="44"/>
      <c r="U129" s="44"/>
      <c r="V129" s="44"/>
      <c r="W129" s="44"/>
      <c r="X129" s="44"/>
      <c r="Y129" s="44"/>
      <c r="Z129" s="44"/>
      <c r="AA129" s="44"/>
      <c r="AB129" s="44"/>
      <c r="AC129" s="46"/>
      <c r="AD129" s="24"/>
      <c r="AE129" s="24"/>
    </row>
    <row r="130" spans="1:31" ht="16.05" customHeight="1" x14ac:dyDescent="0.3">
      <c r="A130" s="37"/>
      <c r="B130" s="38" t="s">
        <v>265</v>
      </c>
      <c r="C130" s="39" t="s">
        <v>151</v>
      </c>
      <c r="D130" s="38" t="s">
        <v>89</v>
      </c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41"/>
      <c r="Q130" s="38"/>
      <c r="R130" s="38"/>
      <c r="S130" s="41"/>
      <c r="T130" s="38"/>
      <c r="U130" s="38"/>
      <c r="V130" s="40">
        <v>7.78</v>
      </c>
      <c r="W130" s="38"/>
      <c r="X130" s="38"/>
      <c r="Y130" s="38"/>
      <c r="Z130" s="38"/>
      <c r="AA130" s="38"/>
      <c r="AB130" s="38"/>
      <c r="AC130" s="42" t="s">
        <v>266</v>
      </c>
      <c r="AD130" s="24"/>
      <c r="AE130" s="24"/>
    </row>
    <row r="131" spans="1:31" ht="16.05" customHeight="1" x14ac:dyDescent="0.3">
      <c r="A131" s="34"/>
      <c r="B131" s="34"/>
      <c r="C131" s="35" t="s">
        <v>153</v>
      </c>
      <c r="D131" s="34"/>
      <c r="E131" s="34"/>
      <c r="F131" s="36">
        <v>1.1499999999999999</v>
      </c>
      <c r="G131" s="36"/>
      <c r="H131" s="36">
        <v>0.8</v>
      </c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24"/>
      <c r="AE131" s="24"/>
    </row>
    <row r="132" spans="1:31" ht="16.05" customHeight="1" x14ac:dyDescent="0.3">
      <c r="A132" s="37"/>
      <c r="B132" s="38" t="s">
        <v>267</v>
      </c>
      <c r="C132" s="39" t="s">
        <v>155</v>
      </c>
      <c r="D132" s="38" t="s">
        <v>76</v>
      </c>
      <c r="E132" s="38">
        <v>1</v>
      </c>
      <c r="F132" s="38">
        <v>1.1499999999999999</v>
      </c>
      <c r="G132" s="38"/>
      <c r="H132" s="38">
        <v>0.8</v>
      </c>
      <c r="I132" s="38"/>
      <c r="J132" s="38"/>
      <c r="K132" s="38"/>
      <c r="L132" s="38"/>
      <c r="M132" s="38"/>
      <c r="N132" s="40">
        <f>I132</f>
        <v>0</v>
      </c>
      <c r="O132" s="38"/>
      <c r="P132" s="41"/>
      <c r="Q132" s="38"/>
      <c r="R132" s="38"/>
      <c r="S132" s="41"/>
      <c r="T132" s="38"/>
      <c r="U132" s="38"/>
      <c r="V132" s="38"/>
      <c r="W132" s="38"/>
      <c r="X132" s="38"/>
      <c r="Y132" s="38"/>
      <c r="Z132" s="38"/>
      <c r="AA132" s="38"/>
      <c r="AB132" s="38"/>
      <c r="AC132" s="42" t="s">
        <v>268</v>
      </c>
      <c r="AD132" s="24"/>
      <c r="AE132" s="24"/>
    </row>
    <row r="133" spans="1:31" ht="16.05" customHeight="1" x14ac:dyDescent="0.3">
      <c r="A133" s="43"/>
      <c r="B133" s="44" t="s">
        <v>269</v>
      </c>
      <c r="C133" s="45" t="s">
        <v>158</v>
      </c>
      <c r="D133" s="44" t="s">
        <v>89</v>
      </c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1"/>
      <c r="Q133" s="44"/>
      <c r="R133" s="44"/>
      <c r="S133" s="41"/>
      <c r="T133" s="44"/>
      <c r="U133" s="44"/>
      <c r="V133" s="40">
        <v>3.9</v>
      </c>
      <c r="W133" s="44"/>
      <c r="X133" s="44"/>
      <c r="Y133" s="44"/>
      <c r="Z133" s="44"/>
      <c r="AA133" s="44"/>
      <c r="AB133" s="44"/>
      <c r="AC133" s="46" t="s">
        <v>270</v>
      </c>
      <c r="AD133" s="24"/>
      <c r="AE133" s="24"/>
    </row>
    <row r="134" spans="1:31" ht="16.05" customHeight="1" x14ac:dyDescent="0.3">
      <c r="A134" s="37"/>
      <c r="B134" s="38" t="s">
        <v>271</v>
      </c>
      <c r="C134" s="39" t="s">
        <v>198</v>
      </c>
      <c r="D134" s="38" t="s">
        <v>76</v>
      </c>
      <c r="E134" s="38">
        <v>1</v>
      </c>
      <c r="F134" s="38">
        <v>1.1499999999999999</v>
      </c>
      <c r="G134" s="38">
        <v>0.56999999999999995</v>
      </c>
      <c r="H134" s="38"/>
      <c r="I134" s="38"/>
      <c r="J134" s="38"/>
      <c r="K134" s="38"/>
      <c r="L134" s="38"/>
      <c r="M134" s="38"/>
      <c r="N134" s="38"/>
      <c r="O134" s="40">
        <f>I134</f>
        <v>0</v>
      </c>
      <c r="P134" s="41"/>
      <c r="Q134" s="38"/>
      <c r="R134" s="38"/>
      <c r="S134" s="41"/>
      <c r="T134" s="38"/>
      <c r="U134" s="38"/>
      <c r="V134" s="38"/>
      <c r="W134" s="38"/>
      <c r="X134" s="38"/>
      <c r="Y134" s="38"/>
      <c r="Z134" s="38"/>
      <c r="AA134" s="38"/>
      <c r="AB134" s="38"/>
      <c r="AC134" s="42"/>
      <c r="AD134" s="24"/>
      <c r="AE134" s="24"/>
    </row>
    <row r="135" spans="1:31" ht="16.05" customHeight="1" x14ac:dyDescent="0.3">
      <c r="A135" s="34"/>
      <c r="B135" s="34"/>
      <c r="C135" s="35" t="s">
        <v>121</v>
      </c>
      <c r="D135" s="34"/>
      <c r="E135" s="34"/>
      <c r="F135" s="36">
        <v>1.05</v>
      </c>
      <c r="G135" s="36"/>
      <c r="H135" s="36">
        <v>0.95</v>
      </c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24"/>
      <c r="AE135" s="24"/>
    </row>
    <row r="136" spans="1:31" ht="16.05" customHeight="1" x14ac:dyDescent="0.3">
      <c r="A136" s="37"/>
      <c r="B136" s="38" t="s">
        <v>272</v>
      </c>
      <c r="C136" s="39" t="s">
        <v>273</v>
      </c>
      <c r="D136" s="38" t="s">
        <v>76</v>
      </c>
      <c r="E136" s="38"/>
      <c r="F136" s="38">
        <v>1.05</v>
      </c>
      <c r="G136" s="38"/>
      <c r="H136" s="38">
        <v>0.95</v>
      </c>
      <c r="I136" s="38"/>
      <c r="J136" s="38"/>
      <c r="K136" s="38"/>
      <c r="L136" s="38"/>
      <c r="M136" s="38"/>
      <c r="N136" s="38"/>
      <c r="O136" s="38"/>
      <c r="P136" s="41"/>
      <c r="Q136" s="38"/>
      <c r="R136" s="38"/>
      <c r="S136" s="41"/>
      <c r="T136" s="38"/>
      <c r="U136" s="38"/>
      <c r="V136" s="38"/>
      <c r="W136" s="38"/>
      <c r="X136" s="38"/>
      <c r="Y136" s="38"/>
      <c r="Z136" s="38"/>
      <c r="AA136" s="40">
        <f>I136</f>
        <v>0</v>
      </c>
      <c r="AB136" s="38"/>
      <c r="AC136" s="42" t="s">
        <v>274</v>
      </c>
      <c r="AD136" s="24"/>
      <c r="AE136" s="24"/>
    </row>
    <row r="137" spans="1:31" ht="16.05" customHeight="1" x14ac:dyDescent="0.3">
      <c r="A137" s="34"/>
      <c r="B137" s="34"/>
      <c r="C137" s="35" t="s">
        <v>275</v>
      </c>
      <c r="D137" s="34"/>
      <c r="E137" s="34"/>
      <c r="F137" s="36">
        <v>1.05</v>
      </c>
      <c r="G137" s="36">
        <v>2.5999999999999999E-2</v>
      </c>
      <c r="H137" s="36">
        <v>0.95</v>
      </c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24"/>
      <c r="AE137" s="24"/>
    </row>
    <row r="138" spans="1:31" ht="16.05" customHeight="1" x14ac:dyDescent="0.3">
      <c r="A138" s="37"/>
      <c r="B138" s="38" t="s">
        <v>276</v>
      </c>
      <c r="C138" s="39" t="s">
        <v>277</v>
      </c>
      <c r="D138" s="38" t="s">
        <v>278</v>
      </c>
      <c r="E138" s="38"/>
      <c r="F138" s="38">
        <v>1.05</v>
      </c>
      <c r="G138" s="38">
        <v>2.5999999999999999E-2</v>
      </c>
      <c r="H138" s="38">
        <v>0.95</v>
      </c>
      <c r="I138" s="38"/>
      <c r="J138" s="38"/>
      <c r="K138" s="38"/>
      <c r="L138" s="38"/>
      <c r="M138" s="38"/>
      <c r="N138" s="38"/>
      <c r="O138" s="38"/>
      <c r="P138" s="41"/>
      <c r="Q138" s="38"/>
      <c r="R138" s="38"/>
      <c r="S138" s="41"/>
      <c r="T138" s="38"/>
      <c r="U138" s="38"/>
      <c r="V138" s="38"/>
      <c r="W138" s="38"/>
      <c r="X138" s="38"/>
      <c r="Y138" s="38"/>
      <c r="Z138" s="38"/>
      <c r="AA138" s="40">
        <f>I138</f>
        <v>0</v>
      </c>
      <c r="AB138" s="38"/>
      <c r="AC138" s="42" t="s">
        <v>279</v>
      </c>
      <c r="AD138" s="24"/>
      <c r="AE138" s="24"/>
    </row>
    <row r="139" spans="1:31" ht="16.05" customHeight="1" x14ac:dyDescent="0.3">
      <c r="A139" s="34"/>
      <c r="B139" s="34"/>
      <c r="C139" s="35" t="s">
        <v>128</v>
      </c>
      <c r="D139" s="34"/>
      <c r="E139" s="34"/>
      <c r="F139" s="36"/>
      <c r="G139" s="36"/>
      <c r="H139" s="36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24"/>
      <c r="AE139" s="24"/>
    </row>
    <row r="140" spans="1:31" ht="16.05" customHeight="1" x14ac:dyDescent="0.3">
      <c r="A140" s="37"/>
      <c r="B140" s="38" t="s">
        <v>280</v>
      </c>
      <c r="C140" s="39" t="s">
        <v>130</v>
      </c>
      <c r="D140" s="38" t="s">
        <v>131</v>
      </c>
      <c r="E140" s="38">
        <v>2</v>
      </c>
      <c r="F140" s="38"/>
      <c r="G140" s="38"/>
      <c r="H140" s="38"/>
      <c r="I140" s="47">
        <v>2</v>
      </c>
      <c r="J140" s="38"/>
      <c r="K140" s="38"/>
      <c r="L140" s="38"/>
      <c r="M140" s="38"/>
      <c r="N140" s="38"/>
      <c r="O140" s="38"/>
      <c r="P140" s="41"/>
      <c r="Q140" s="38"/>
      <c r="R140" s="38"/>
      <c r="S140" s="41"/>
      <c r="T140" s="40">
        <f>I140</f>
        <v>2</v>
      </c>
      <c r="U140" s="38"/>
      <c r="V140" s="38"/>
      <c r="W140" s="38"/>
      <c r="X140" s="38"/>
      <c r="Y140" s="38"/>
      <c r="Z140" s="38"/>
      <c r="AA140" s="38"/>
      <c r="AB140" s="38"/>
      <c r="AC140" s="42"/>
      <c r="AD140" s="24"/>
      <c r="AE140" s="24"/>
    </row>
    <row r="141" spans="1:31" ht="16.05" customHeight="1" x14ac:dyDescent="0.3">
      <c r="A141" s="34"/>
      <c r="B141" s="34"/>
      <c r="C141" s="35" t="s">
        <v>180</v>
      </c>
      <c r="D141" s="34"/>
      <c r="E141" s="34"/>
      <c r="F141" s="36"/>
      <c r="G141" s="36"/>
      <c r="H141" s="36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24"/>
      <c r="AE141" s="24"/>
    </row>
    <row r="142" spans="1:31" ht="16.05" customHeight="1" x14ac:dyDescent="0.3">
      <c r="A142" s="37"/>
      <c r="B142" s="38" t="s">
        <v>281</v>
      </c>
      <c r="C142" s="39" t="s">
        <v>282</v>
      </c>
      <c r="D142" s="38" t="s">
        <v>202</v>
      </c>
      <c r="E142" s="38">
        <v>0</v>
      </c>
      <c r="F142" s="38"/>
      <c r="G142" s="38"/>
      <c r="H142" s="38"/>
      <c r="I142" s="47">
        <v>0</v>
      </c>
      <c r="J142" s="38"/>
      <c r="K142" s="38"/>
      <c r="L142" s="38"/>
      <c r="M142" s="38"/>
      <c r="N142" s="38"/>
      <c r="O142" s="38"/>
      <c r="P142" s="41"/>
      <c r="Q142" s="38"/>
      <c r="R142" s="38"/>
      <c r="S142" s="41"/>
      <c r="T142" s="38"/>
      <c r="U142" s="40">
        <f>I142</f>
        <v>0</v>
      </c>
      <c r="V142" s="38"/>
      <c r="W142" s="38"/>
      <c r="X142" s="38"/>
      <c r="Y142" s="38"/>
      <c r="Z142" s="38"/>
      <c r="AA142" s="38"/>
      <c r="AB142" s="38"/>
      <c r="AC142" s="42" t="s">
        <v>283</v>
      </c>
      <c r="AD142" s="24"/>
      <c r="AE142" s="24"/>
    </row>
    <row r="143" spans="1:31" ht="16.05" customHeight="1" x14ac:dyDescent="0.3">
      <c r="A143" s="34"/>
      <c r="B143" s="34"/>
      <c r="C143" s="35" t="s">
        <v>128</v>
      </c>
      <c r="D143" s="34"/>
      <c r="E143" s="34"/>
      <c r="F143" s="36"/>
      <c r="G143" s="36"/>
      <c r="H143" s="36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24"/>
      <c r="AE143" s="24"/>
    </row>
    <row r="144" spans="1:31" ht="16.05" customHeight="1" x14ac:dyDescent="0.3">
      <c r="A144" s="37"/>
      <c r="B144" s="38" t="s">
        <v>284</v>
      </c>
      <c r="C144" s="39" t="s">
        <v>285</v>
      </c>
      <c r="D144" s="38" t="s">
        <v>89</v>
      </c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41"/>
      <c r="Q144" s="38"/>
      <c r="R144" s="38"/>
      <c r="S144" s="41"/>
      <c r="T144" s="38"/>
      <c r="U144" s="38"/>
      <c r="V144" s="38"/>
      <c r="W144" s="38"/>
      <c r="X144" s="38"/>
      <c r="Y144" s="40">
        <f>I144</f>
        <v>0</v>
      </c>
      <c r="Z144" s="38"/>
      <c r="AA144" s="38"/>
      <c r="AB144" s="38"/>
      <c r="AC144" s="42" t="s">
        <v>286</v>
      </c>
      <c r="AD144" s="24"/>
      <c r="AE144" s="24"/>
    </row>
    <row r="145" spans="1:31" ht="19.95" customHeight="1" x14ac:dyDescent="0.3">
      <c r="I145" s="48" t="s">
        <v>133</v>
      </c>
      <c r="J145" s="49">
        <f t="shared" ref="J145:O145" si="8">SUM(J123:J144)</f>
        <v>0</v>
      </c>
      <c r="K145" s="49">
        <f t="shared" si="8"/>
        <v>0</v>
      </c>
      <c r="L145" s="49">
        <f t="shared" si="8"/>
        <v>0</v>
      </c>
      <c r="M145" s="49">
        <f t="shared" si="8"/>
        <v>0</v>
      </c>
      <c r="N145" s="49">
        <f t="shared" si="8"/>
        <v>0</v>
      </c>
      <c r="O145" s="49">
        <f t="shared" si="8"/>
        <v>0</v>
      </c>
      <c r="P145" s="50"/>
      <c r="Q145" s="49">
        <f>SUM(Q123:Q144)</f>
        <v>0</v>
      </c>
      <c r="R145" s="49">
        <f>SUM(R123:R144)</f>
        <v>0</v>
      </c>
      <c r="S145" s="50"/>
      <c r="T145" s="49">
        <f t="shared" ref="T145:AB145" si="9">SUM(T123:T144)</f>
        <v>2</v>
      </c>
      <c r="U145" s="49">
        <f t="shared" si="9"/>
        <v>0</v>
      </c>
      <c r="V145" s="49">
        <f t="shared" si="9"/>
        <v>11.68</v>
      </c>
      <c r="W145" s="49">
        <f t="shared" si="9"/>
        <v>0</v>
      </c>
      <c r="X145" s="49">
        <f t="shared" si="9"/>
        <v>0</v>
      </c>
      <c r="Y145" s="49">
        <f t="shared" si="9"/>
        <v>0</v>
      </c>
      <c r="Z145" s="49">
        <f t="shared" si="9"/>
        <v>0</v>
      </c>
      <c r="AA145" s="49">
        <f t="shared" si="9"/>
        <v>0</v>
      </c>
      <c r="AB145" s="49">
        <f t="shared" si="9"/>
        <v>0</v>
      </c>
      <c r="AD145" s="24"/>
      <c r="AE145" s="24"/>
    </row>
    <row r="146" spans="1:31" ht="22.05" customHeight="1" x14ac:dyDescent="0.3">
      <c r="H146" s="51">
        <f>H2</f>
        <v>58</v>
      </c>
      <c r="I146" s="52" t="s">
        <v>134</v>
      </c>
      <c r="J146" s="53">
        <f>J145*H2/2.88</f>
        <v>0</v>
      </c>
      <c r="K146" s="53">
        <f>K145*H2/2.88</f>
        <v>0</v>
      </c>
      <c r="L146" s="53">
        <f>L145*H2/2.88</f>
        <v>0</v>
      </c>
      <c r="M146" s="53">
        <f>M145*H2/2.88</f>
        <v>0</v>
      </c>
      <c r="N146" s="53">
        <f>N145*H2/2.88</f>
        <v>0</v>
      </c>
      <c r="O146" s="53">
        <f>O145*H2/2.88</f>
        <v>0</v>
      </c>
      <c r="P146" s="54"/>
      <c r="Q146" s="53">
        <f>Q145*H2/2.88</f>
        <v>0</v>
      </c>
      <c r="R146" s="53">
        <f>R145*H2/2.88</f>
        <v>0</v>
      </c>
      <c r="S146" s="54"/>
      <c r="T146" s="53">
        <f>T145*H2</f>
        <v>116</v>
      </c>
      <c r="U146" s="53">
        <f>U145*H2</f>
        <v>0</v>
      </c>
      <c r="V146" s="53">
        <f>V145*H2</f>
        <v>677.43999999999994</v>
      </c>
      <c r="W146" s="53">
        <f>W145*H2</f>
        <v>0</v>
      </c>
      <c r="X146" s="53">
        <f>X145*H2</f>
        <v>0</v>
      </c>
      <c r="Y146" s="53">
        <f>Y145*H2</f>
        <v>0</v>
      </c>
      <c r="Z146" s="53">
        <f>Z145*H2</f>
        <v>0</v>
      </c>
      <c r="AA146" s="53">
        <f>AA145*H2</f>
        <v>0</v>
      </c>
      <c r="AB146" s="53">
        <f>AB145*H2</f>
        <v>0</v>
      </c>
      <c r="AD146" s="24"/>
      <c r="AE146" s="24"/>
    </row>
    <row r="147" spans="1:31" ht="10.050000000000001" customHeight="1" x14ac:dyDescent="0.3">
      <c r="AD147" s="24"/>
      <c r="AE147" s="24"/>
    </row>
    <row r="148" spans="1:31" ht="10.050000000000001" customHeight="1" x14ac:dyDescent="0.3">
      <c r="AD148" s="24"/>
      <c r="AE148" s="24"/>
    </row>
    <row r="149" spans="1:31" ht="4.95" customHeight="1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24"/>
      <c r="AE149" s="24"/>
    </row>
    <row r="150" spans="1:31" ht="25.95" customHeight="1" x14ac:dyDescent="0.3">
      <c r="A150" s="68" t="s">
        <v>287</v>
      </c>
      <c r="B150" s="60"/>
      <c r="C150" s="60"/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  <c r="AA150" s="60"/>
      <c r="AB150" s="60"/>
      <c r="AC150" s="60"/>
      <c r="AD150" s="24"/>
      <c r="AE150" s="24"/>
    </row>
    <row r="151" spans="1:31" ht="28.05" customHeight="1" x14ac:dyDescent="0.3">
      <c r="I151" s="55" t="s">
        <v>54</v>
      </c>
      <c r="J151" s="56">
        <f t="shared" ref="J151:O151" si="10">J33+J54+J83+J119+J146</f>
        <v>0</v>
      </c>
      <c r="K151" s="56">
        <f t="shared" si="10"/>
        <v>0</v>
      </c>
      <c r="L151" s="56">
        <f t="shared" si="10"/>
        <v>0</v>
      </c>
      <c r="M151" s="56">
        <f t="shared" si="10"/>
        <v>0</v>
      </c>
      <c r="N151" s="56">
        <f t="shared" si="10"/>
        <v>0</v>
      </c>
      <c r="O151" s="56">
        <f t="shared" si="10"/>
        <v>0</v>
      </c>
      <c r="P151" s="57"/>
      <c r="Q151" s="56">
        <f>Q33+Q54+Q83+Q119+Q146</f>
        <v>0</v>
      </c>
      <c r="R151" s="56">
        <f>R33+R54+R83+R119+R146</f>
        <v>0</v>
      </c>
      <c r="S151" s="57"/>
      <c r="T151" s="56">
        <f t="shared" ref="T151:AB151" si="11">T33+T54+T83+T119+T146</f>
        <v>1276</v>
      </c>
      <c r="U151" s="56">
        <f t="shared" si="11"/>
        <v>232</v>
      </c>
      <c r="V151" s="56">
        <f t="shared" si="11"/>
        <v>7619.4599999999991</v>
      </c>
      <c r="W151" s="56">
        <f t="shared" si="11"/>
        <v>371.2</v>
      </c>
      <c r="X151" s="56">
        <f t="shared" si="11"/>
        <v>279.56</v>
      </c>
      <c r="Y151" s="56">
        <f t="shared" si="11"/>
        <v>0</v>
      </c>
      <c r="Z151" s="56">
        <f t="shared" si="11"/>
        <v>373.52000000000004</v>
      </c>
      <c r="AA151" s="56">
        <f t="shared" si="11"/>
        <v>0</v>
      </c>
      <c r="AB151" s="56">
        <f t="shared" si="11"/>
        <v>0</v>
      </c>
      <c r="AD151" s="24"/>
      <c r="AE151" s="24"/>
    </row>
    <row r="152" spans="1:31" ht="55.95" customHeight="1" x14ac:dyDescent="0.3">
      <c r="J152" s="58" t="s">
        <v>55</v>
      </c>
      <c r="K152" s="58" t="s">
        <v>56</v>
      </c>
      <c r="L152" s="58" t="s">
        <v>57</v>
      </c>
      <c r="M152" s="58" t="s">
        <v>58</v>
      </c>
      <c r="N152" s="58" t="s">
        <v>59</v>
      </c>
      <c r="O152" s="58" t="s">
        <v>60</v>
      </c>
      <c r="Q152" s="58" t="s">
        <v>61</v>
      </c>
      <c r="R152" s="58" t="s">
        <v>62</v>
      </c>
      <c r="T152" s="58" t="s">
        <v>63</v>
      </c>
      <c r="U152" s="58" t="s">
        <v>64</v>
      </c>
      <c r="V152" s="58" t="s">
        <v>65</v>
      </c>
      <c r="W152" s="58" t="s">
        <v>66</v>
      </c>
      <c r="X152" s="58" t="s">
        <v>67</v>
      </c>
      <c r="Y152" s="58" t="s">
        <v>68</v>
      </c>
      <c r="Z152" s="58" t="s">
        <v>69</v>
      </c>
      <c r="AA152" s="58" t="s">
        <v>70</v>
      </c>
      <c r="AB152" s="58" t="s">
        <v>71</v>
      </c>
      <c r="AD152" s="24"/>
      <c r="AE152" s="24"/>
    </row>
    <row r="153" spans="1:31" ht="7.95" customHeight="1" x14ac:dyDescent="0.3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</row>
    <row r="154" spans="1:31" ht="7.95" customHeight="1" x14ac:dyDescent="0.3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</row>
    <row r="155" spans="1:31" ht="7.95" customHeight="1" x14ac:dyDescent="0.3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</row>
    <row r="156" spans="1:31" ht="7.95" customHeight="1" x14ac:dyDescent="0.3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</row>
    <row r="157" spans="1:31" ht="7.95" customHeight="1" x14ac:dyDescent="0.3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</row>
    <row r="158" spans="1:31" ht="7.95" customHeight="1" x14ac:dyDescent="0.3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</row>
    <row r="159" spans="1:31" ht="7.95" customHeight="1" x14ac:dyDescent="0.3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</row>
    <row r="160" spans="1:31" ht="7.95" customHeight="1" x14ac:dyDescent="0.3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</row>
    <row r="161" spans="1:31" ht="7.95" customHeight="1" x14ac:dyDescent="0.3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</row>
    <row r="162" spans="1:31" ht="7.95" customHeight="1" x14ac:dyDescent="0.3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</row>
  </sheetData>
  <mergeCells count="2">
    <mergeCell ref="A150:AC150"/>
    <mergeCell ref="A1:A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BOQ_Matrix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SAFNAS KALDEEN</cp:lastModifiedBy>
  <dcterms:created xsi:type="dcterms:W3CDTF">2026-05-05T06:10:37Z</dcterms:created>
  <dcterms:modified xsi:type="dcterms:W3CDTF">2026-05-05T06:21:02Z</dcterms:modified>
</cp:coreProperties>
</file>