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Q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C8A84B"/>
      <sz val="10"/>
    </font>
    <font>
      <name val="Calibri"/>
      <b val="1"/>
      <color rgb="00C8A84B"/>
      <sz val="10"/>
    </font>
    <font>
      <name val="Calibri"/>
      <b val="1"/>
      <color rgb="006C7A8D"/>
      <sz val="9"/>
    </font>
    <font>
      <name val="Calibri"/>
      <b val="1"/>
      <color rgb="000D1B2A"/>
      <sz val="10"/>
    </font>
    <font>
      <name val="Calibri"/>
      <b val="1"/>
      <color rgb="00FFFFFF"/>
      <sz val="9"/>
    </font>
    <font>
      <name val="Calibri"/>
      <color rgb="000D1B2A"/>
      <sz val="10"/>
    </font>
    <font>
      <name val="Calibri"/>
      <color rgb="001C1C1C"/>
      <sz val="10"/>
    </font>
    <font>
      <name val="Calibri"/>
      <i val="1"/>
      <color rgb="006C7A8D"/>
      <sz val="8"/>
    </font>
    <font>
      <name val="Calibri"/>
      <b val="1"/>
      <color rgb="00FFFFFF"/>
      <sz val="14"/>
    </font>
    <font>
      <name val="Calibri"/>
      <b val="1"/>
      <color rgb="001A3A5C"/>
      <sz val="11"/>
    </font>
    <font>
      <name val="Calibri"/>
      <b val="1"/>
      <color rgb="00C8A84B"/>
      <sz val="11"/>
    </font>
    <font>
      <name val="Calibri"/>
      <i val="1"/>
      <color rgb="00B8962E"/>
      <sz val="10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color rgb="001C1C1C"/>
      <sz val="11"/>
    </font>
    <font>
      <name val="Calibri"/>
      <i val="1"/>
      <color rgb="006C7A8D"/>
      <sz val="10"/>
    </font>
    <font>
      <name val="Calibri"/>
      <b val="1"/>
      <color rgb="001C1C1C"/>
      <sz val="11"/>
    </font>
    <font>
      <name val="Calibri"/>
      <b val="1"/>
      <color rgb="00FF0000"/>
      <sz val="13"/>
    </font>
    <font>
      <name val="Calibri"/>
      <b val="1"/>
      <color rgb="00FFFFFF"/>
      <sz val="12"/>
    </font>
    <font>
      <name val="Calibri"/>
      <b val="1"/>
      <color rgb="00B8962E"/>
      <sz val="12"/>
    </font>
  </fonts>
  <fills count="13">
    <fill>
      <patternFill/>
    </fill>
    <fill>
      <patternFill patternType="gray125"/>
    </fill>
    <fill>
      <patternFill patternType="solid">
        <fgColor rgb="00B8962E"/>
      </patternFill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2C3E5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C8A84B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7">
    <border>
      <left/>
      <right/>
      <top/>
      <bottom/>
      <diagonal/>
    </border>
    <border>
      <bottom style="medium">
        <color rgb="00B8962E"/>
      </bottom>
    </border>
    <border>
      <left/>
      <right/>
      <top/>
      <bottom style="medium">
        <color rgb="00B8962E"/>
      </bottom>
      <diagonal/>
    </border>
    <border>
      <top style="medium">
        <color rgb="00B8962E"/>
      </top>
      <bottom style="thin">
        <color rgb="00C8A84B"/>
      </bottom>
    </border>
    <border>
      <left/>
      <right/>
      <top style="medium">
        <color rgb="00B8962E"/>
      </top>
      <bottom/>
      <diagonal/>
    </border>
    <border>
      <left/>
      <right/>
      <top style="medium">
        <color rgb="00B8962E"/>
      </top>
      <bottom style="thin">
        <color rgb="00C8A84B"/>
      </bottom>
      <diagonal/>
    </border>
    <border>
      <bottom style="thin">
        <color rgb="00DDEEFF"/>
      </bottom>
    </border>
    <border>
      <left style="medium">
        <color rgb="00B8962E"/>
      </left>
      <bottom style="thin">
        <color rgb="00DDEEFF"/>
      </bottom>
    </border>
    <border>
      <right style="medium">
        <color rgb="00B8962E"/>
      </right>
      <bottom style="thin">
        <color rgb="00DDEEFF"/>
      </bottom>
    </border>
    <border>
      <bottom style="thin">
        <color rgb="00E8E8E8"/>
      </bottom>
    </border>
    <border>
      <left style="medium">
        <color rgb="00B8962E"/>
      </left>
      <bottom style="thin">
        <color rgb="00E8E8E8"/>
      </bottom>
    </border>
    <border>
      <right style="medium">
        <color rgb="00B8962E"/>
      </right>
      <bottom style="thin">
        <color rgb="00E8E8E8"/>
      </bottom>
    </border>
    <border>
      <top style="medium">
        <color rgb="00B8962E"/>
      </top>
      <bottom style="medium">
        <color rgb="00B8962E"/>
      </bottom>
    </border>
    <border>
      <left style="medium">
        <color rgb="00B8962E"/>
      </left>
      <right style="thin">
        <color rgb="00C8A84B"/>
      </right>
      <top style="medium">
        <color rgb="00B8962E"/>
      </top>
      <bottom style="medium">
        <color rgb="00B8962E"/>
      </bottom>
    </border>
    <border>
      <left style="medium">
        <color rgb="00C8A84B"/>
      </left>
      <right style="medium">
        <color rgb="00C8A84B"/>
      </right>
      <top style="medium">
        <color rgb="00C8A84B"/>
      </top>
      <bottom style="medium">
        <color rgb="00C8A84B"/>
      </bottom>
    </border>
    <border>
      <left style="medium">
        <color rgb="00B8962E"/>
      </left>
      <right style="medium">
        <color rgb="00B8962E"/>
      </right>
      <top style="thin">
        <color rgb="00B8962E"/>
      </top>
      <bottom style="thin">
        <color rgb="00B8962E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3" borderId="1" pivotButton="0" quotePrefix="0" xfId="0"/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3" pivotButton="0" quotePrefix="0" xfId="0"/>
    <xf numFmtId="0" fontId="3" fillId="5" borderId="3" applyAlignment="1" pivotButton="0" quotePrefix="0" xfId="0">
      <alignment horizontal="left" vertical="center"/>
    </xf>
    <xf numFmtId="0" fontId="0" fillId="0" borderId="5" pivotButton="0" quotePrefix="0" xfId="0"/>
    <xf numFmtId="0" fontId="0" fillId="5" borderId="3" pivotButton="0" quotePrefix="0" xfId="0"/>
    <xf numFmtId="0" fontId="0" fillId="2" borderId="6" pivotButton="0" quotePrefix="0" xfId="0"/>
    <xf numFmtId="0" fontId="4" fillId="6" borderId="7" applyAlignment="1" pivotButton="0" quotePrefix="0" xfId="0">
      <alignment horizontal="left" vertical="center"/>
    </xf>
    <xf numFmtId="0" fontId="5" fillId="6" borderId="8" applyAlignment="1" pivotButton="0" quotePrefix="0" xfId="0">
      <alignment horizontal="left" vertical="center"/>
    </xf>
    <xf numFmtId="0" fontId="0" fillId="6" borderId="6" pivotButton="0" quotePrefix="0" xfId="0"/>
    <xf numFmtId="0" fontId="0" fillId="2" borderId="9" pivotButton="0" quotePrefix="0" xfId="0"/>
    <xf numFmtId="0" fontId="4" fillId="7" borderId="10" applyAlignment="1" pivotButton="0" quotePrefix="0" xfId="0">
      <alignment horizontal="left" vertical="center"/>
    </xf>
    <xf numFmtId="0" fontId="5" fillId="7" borderId="11" applyAlignment="1" pivotButton="0" quotePrefix="0" xfId="0">
      <alignment horizontal="left" vertical="center"/>
    </xf>
    <xf numFmtId="0" fontId="0" fillId="7" borderId="9" pivotButton="0" quotePrefix="0" xfId="0"/>
    <xf numFmtId="0" fontId="0" fillId="2" borderId="12" pivotButton="0" quotePrefix="0" xfId="0"/>
    <xf numFmtId="0" fontId="6" fillId="4" borderId="12" applyAlignment="1" pivotButton="0" quotePrefix="0" xfId="0">
      <alignment horizontal="center" vertical="center"/>
    </xf>
    <xf numFmtId="0" fontId="0" fillId="4" borderId="12" pivotButton="0" quotePrefix="0" xfId="0"/>
    <xf numFmtId="0" fontId="7" fillId="6" borderId="7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8" fillId="6" borderId="6" applyAlignment="1" pivotButton="0" quotePrefix="0" xfId="0">
      <alignment horizontal="left" vertical="center"/>
    </xf>
    <xf numFmtId="0" fontId="7" fillId="6" borderId="8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8" fillId="7" borderId="9" applyAlignment="1" pivotButton="0" quotePrefix="0" xfId="0">
      <alignment horizontal="left" vertical="center"/>
    </xf>
    <xf numFmtId="0" fontId="7" fillId="7" borderId="1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0" fillId="7" borderId="16" pivotButton="0" quotePrefix="0" xfId="0"/>
    <xf numFmtId="0" fontId="0" fillId="4" borderId="1" pivotButton="0" quotePrefix="0" xfId="0"/>
    <xf numFmtId="0" fontId="11" fillId="4" borderId="1" pivotButton="0" quotePrefix="0" xfId="0"/>
    <xf numFmtId="0" fontId="0" fillId="3" borderId="12" pivotButton="0" quotePrefix="0" xfId="0"/>
    <xf numFmtId="0" fontId="12" fillId="4" borderId="13" applyAlignment="1" pivotButton="0" quotePrefix="0" xfId="0">
      <alignment horizontal="center" vertical="center"/>
    </xf>
    <xf numFmtId="0" fontId="1" fillId="3" borderId="12" applyAlignment="1" pivotButton="0" quotePrefix="0" xfId="0">
      <alignment horizontal="left" vertical="center"/>
    </xf>
    <xf numFmtId="0" fontId="13" fillId="3" borderId="12" applyAlignment="1" pivotButton="0" quotePrefix="0" xfId="0">
      <alignment horizontal="right" vertical="center" wrapText="1"/>
    </xf>
    <xf numFmtId="0" fontId="14" fillId="4" borderId="14" applyAlignment="1" pivotButton="0" quotePrefix="0" xfId="0">
      <alignment horizontal="center" vertical="center" wrapText="1"/>
    </xf>
    <xf numFmtId="0" fontId="0" fillId="5" borderId="14" pivotButton="0" quotePrefix="0" xfId="0"/>
    <xf numFmtId="0" fontId="0" fillId="8" borderId="0" pivotButton="0" quotePrefix="0" xfId="0"/>
    <xf numFmtId="0" fontId="11" fillId="8" borderId="0" applyAlignment="1" pivotButton="0" quotePrefix="0" xfId="0">
      <alignment horizontal="left" vertical="center"/>
    </xf>
    <xf numFmtId="0" fontId="15" fillId="9" borderId="15" applyAlignment="1" pivotButton="0" quotePrefix="0" xfId="0">
      <alignment horizontal="center" vertical="center"/>
    </xf>
    <xf numFmtId="0" fontId="16" fillId="7" borderId="16" applyAlignment="1" pivotButton="0" quotePrefix="0" xfId="0">
      <alignment horizontal="left" vertical="center"/>
    </xf>
    <xf numFmtId="0" fontId="16" fillId="7" borderId="16" applyAlignment="1" pivotButton="0" quotePrefix="0" xfId="0">
      <alignment horizontal="center" vertical="center"/>
    </xf>
    <xf numFmtId="0" fontId="16" fillId="7" borderId="16" applyAlignment="1" pivotButton="0" quotePrefix="0" xfId="0">
      <alignment horizontal="left" vertical="center" wrapText="1"/>
    </xf>
    <xf numFmtId="164" fontId="16" fillId="7" borderId="16" applyAlignment="1" pivotButton="0" quotePrefix="0" xfId="0">
      <alignment horizontal="center" vertical="center"/>
    </xf>
    <xf numFmtId="164" fontId="16" fillId="6" borderId="16" applyAlignment="1" pivotButton="0" quotePrefix="0" xfId="0">
      <alignment horizontal="center" vertical="center"/>
    </xf>
    <xf numFmtId="0" fontId="17" fillId="7" borderId="16" applyAlignment="1" pivotButton="0" quotePrefix="0" xfId="0">
      <alignment horizontal="left" vertical="center" wrapText="1"/>
    </xf>
    <xf numFmtId="0" fontId="16" fillId="10" borderId="16" applyAlignment="1" pivotButton="0" quotePrefix="0" xfId="0">
      <alignment horizontal="left" vertical="center"/>
    </xf>
    <xf numFmtId="0" fontId="16" fillId="10" borderId="16" applyAlignment="1" pivotButton="0" quotePrefix="0" xfId="0">
      <alignment horizontal="center" vertical="center"/>
    </xf>
    <xf numFmtId="0" fontId="16" fillId="10" borderId="16" applyAlignment="1" pivotButton="0" quotePrefix="0" xfId="0">
      <alignment horizontal="left" vertical="center" wrapText="1"/>
    </xf>
    <xf numFmtId="164" fontId="16" fillId="10" borderId="16" applyAlignment="1" pivotButton="0" quotePrefix="0" xfId="0">
      <alignment horizontal="center" vertical="center"/>
    </xf>
    <xf numFmtId="0" fontId="0" fillId="10" borderId="16" pivotButton="0" quotePrefix="0" xfId="0"/>
    <xf numFmtId="0" fontId="17" fillId="10" borderId="16" applyAlignment="1" pivotButton="0" quotePrefix="0" xfId="0">
      <alignment horizontal="left" vertical="center" wrapText="1"/>
    </xf>
    <xf numFmtId="0" fontId="18" fillId="11" borderId="0" applyAlignment="1" pivotButton="0" quotePrefix="0" xfId="0">
      <alignment horizontal="center" vertical="center"/>
    </xf>
    <xf numFmtId="164" fontId="16" fillId="11" borderId="1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12" borderId="16" applyAlignment="1" pivotButton="0" quotePrefix="0" xfId="0">
      <alignment horizontal="center" vertical="center"/>
    </xf>
    <xf numFmtId="164" fontId="16" fillId="12" borderId="16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0" fillId="3" borderId="14" applyAlignment="1" pivotButton="0" quotePrefix="0" xfId="0">
      <alignment horizontal="center" vertical="center"/>
    </xf>
    <xf numFmtId="164" fontId="21" fillId="3" borderId="14" applyAlignment="1" pivotButton="0" quotePrefix="0" xfId="0">
      <alignment horizontal="center" vertical="center"/>
    </xf>
    <xf numFmtId="0" fontId="14" fillId="4" borderId="1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22" customWidth="1" min="2" max="2"/>
    <col width="36" customWidth="1" min="3" max="3"/>
    <col width="16" customWidth="1" min="4" max="4"/>
    <col width="16" customWidth="1" min="5" max="5"/>
    <col width="3.5" customWidth="1" min="6" max="6"/>
  </cols>
  <sheetData>
    <row r="1" ht="4" customHeight="1">
      <c r="A1" s="1" t="n"/>
      <c r="B1" s="1" t="n"/>
      <c r="C1" s="1" t="n"/>
      <c r="D1" s="1" t="n"/>
      <c r="E1" s="1" t="n"/>
      <c r="F1" s="1" t="n"/>
    </row>
    <row r="2" ht="36" customHeight="1">
      <c r="A2" s="2" t="n"/>
      <c r="B2" s="3" t="inlineStr">
        <is>
          <t>BILL OF QUANTITIES  ·  KITCHEN FITOUT  ·  TYPE C01</t>
        </is>
      </c>
      <c r="C2" s="4" t="n"/>
      <c r="D2" s="4" t="n"/>
      <c r="E2" s="4" t="n"/>
      <c r="F2" s="5" t="n"/>
    </row>
    <row r="3" ht="20" customHeight="1">
      <c r="A3" s="1" t="n"/>
      <c r="B3" s="6" t="inlineStr">
        <is>
          <t>AL WAHA RESIDENCE 01   ·   EXPO CITY DUBAI   ·   Phase-01 – Mobility District</t>
        </is>
      </c>
      <c r="F3" s="7" t="n"/>
    </row>
    <row r="4" ht="3" customHeight="1">
      <c r="A4" s="1" t="n"/>
      <c r="B4" s="1" t="n"/>
      <c r="C4" s="1" t="n"/>
      <c r="D4" s="1" t="n"/>
      <c r="E4" s="1" t="n"/>
      <c r="F4" s="1" t="n"/>
    </row>
    <row r="5" ht="26" customHeight="1">
      <c r="A5" s="8" t="n"/>
      <c r="B5" s="9" t="inlineStr">
        <is>
          <t>PROJECT INFORMATION</t>
        </is>
      </c>
      <c r="C5" s="10" t="n"/>
      <c r="D5" s="10" t="n"/>
      <c r="E5" s="10" t="n"/>
      <c r="F5" s="11" t="n"/>
    </row>
    <row r="6" ht="22" customHeight="1">
      <c r="A6" s="12" t="n"/>
      <c r="B6" s="13" t="inlineStr">
        <is>
          <t>Main Contractor</t>
        </is>
      </c>
      <c r="C6" s="14" t="inlineStr">
        <is>
          <t>ARCO GROUP</t>
        </is>
      </c>
      <c r="F6" s="15" t="n"/>
    </row>
    <row r="7" ht="22" customHeight="1">
      <c r="A7" s="16" t="n"/>
      <c r="B7" s="17" t="inlineStr">
        <is>
          <t>Design Consultant</t>
        </is>
      </c>
      <c r="C7" s="18" t="inlineStr">
        <is>
          <t>HOPKINS ARCHITECTS</t>
        </is>
      </c>
      <c r="F7" s="19" t="n"/>
    </row>
    <row r="8" ht="22" customHeight="1">
      <c r="A8" s="12" t="n"/>
      <c r="B8" s="13" t="inlineStr">
        <is>
          <t>Supervision</t>
        </is>
      </c>
      <c r="C8" s="14" t="inlineStr">
        <is>
          <t>DEWAN ARCHITECTS + ENGINEERS</t>
        </is>
      </c>
      <c r="F8" s="15" t="n"/>
    </row>
    <row r="9" ht="22" customHeight="1">
      <c r="A9" s="16" t="n"/>
      <c r="B9" s="17" t="inlineStr">
        <is>
          <t>Kitchen Type</t>
        </is>
      </c>
      <c r="C9" s="18" t="inlineStr">
        <is>
          <t>C01</t>
        </is>
      </c>
      <c r="F9" s="19" t="n"/>
    </row>
    <row r="10" ht="22" customHeight="1">
      <c r="A10" s="12" t="n"/>
      <c r="B10" s="13" t="inlineStr">
        <is>
          <t>Total Units</t>
        </is>
      </c>
      <c r="C10" s="14" t="n">
        <v>58</v>
      </c>
      <c r="F10" s="15" t="n"/>
    </row>
    <row r="11" ht="22" customHeight="1">
      <c r="A11" s="16" t="n"/>
      <c r="B11" s="17" t="inlineStr">
        <is>
          <t>Date</t>
        </is>
      </c>
      <c r="C11" s="18" t="inlineStr">
        <is>
          <t>2026-03-21</t>
        </is>
      </c>
      <c r="F11" s="19" t="n"/>
    </row>
    <row r="12" ht="22" customHeight="1">
      <c r="A12" s="12" t="n"/>
      <c r="B12" s="13" t="inlineStr">
        <is>
          <t>Revision</t>
        </is>
      </c>
      <c r="C12" s="14" t="inlineStr">
        <is>
          <t>Rev 1 – First Issue</t>
        </is>
      </c>
      <c r="F12" s="15" t="n"/>
    </row>
    <row r="13" ht="22" customHeight="1">
      <c r="A13" s="16" t="n"/>
      <c r="B13" s="17" t="inlineStr">
        <is>
          <t>Currency / VAT</t>
        </is>
      </c>
      <c r="C13" s="18" t="inlineStr">
        <is>
          <t>AED  (VAT 5%)</t>
        </is>
      </c>
      <c r="F13" s="19" t="n"/>
    </row>
    <row r="14" ht="8" customHeight="1"/>
    <row r="15" ht="26" customHeight="1">
      <c r="A15" s="8" t="n"/>
      <c r="B15" s="9" t="inlineStr">
        <is>
          <t>DRAWING REFERENCES</t>
        </is>
      </c>
      <c r="C15" s="10" t="n"/>
      <c r="D15" s="10" t="n"/>
      <c r="E15" s="10" t="n"/>
      <c r="F15" s="11" t="n"/>
    </row>
    <row r="16" ht="22" customHeight="1">
      <c r="A16" s="12" t="n"/>
      <c r="B16" s="13" t="inlineStr">
        <is>
          <t>Ref 01</t>
        </is>
      </c>
      <c r="C16" s="14" t="inlineStr">
        <is>
          <t>C5128-SDW-2TR5600-FO-6000001</t>
        </is>
      </c>
      <c r="F16" s="15" t="n"/>
    </row>
    <row r="17" ht="22" customHeight="1">
      <c r="A17" s="16" t="n"/>
      <c r="B17" s="17" t="inlineStr">
        <is>
          <t>Ref 02</t>
        </is>
      </c>
      <c r="C17" s="18" t="inlineStr">
        <is>
          <t>C5128-SDW-2TR5600-FO-6000003</t>
        </is>
      </c>
      <c r="F17" s="19" t="n"/>
    </row>
    <row r="18" ht="22" customHeight="1">
      <c r="A18" s="12" t="n"/>
      <c r="B18" s="13" t="inlineStr">
        <is>
          <t>Ref 03</t>
        </is>
      </c>
      <c r="C18" s="14" t="inlineStr">
        <is>
          <t>C5128-SDW-2TR5600-FO-6000004</t>
        </is>
      </c>
      <c r="F18" s="15" t="n"/>
    </row>
    <row r="19" ht="22" customHeight="1">
      <c r="A19" s="16" t="n"/>
      <c r="B19" s="17" t="inlineStr">
        <is>
          <t>Ref 04</t>
        </is>
      </c>
      <c r="C19" s="18" t="inlineStr">
        <is>
          <t>C5128-SDW-2TR5600-FO-6000093</t>
        </is>
      </c>
      <c r="F19" s="19" t="n"/>
    </row>
    <row r="20" ht="8" customHeight="1"/>
    <row r="21" ht="26" customHeight="1">
      <c r="A21" s="8" t="n"/>
      <c r="B21" s="9" t="inlineStr">
        <is>
          <t>SECTION SUMMARY</t>
        </is>
      </c>
      <c r="C21" s="10" t="n"/>
      <c r="D21" s="10" t="n"/>
      <c r="E21" s="10" t="n"/>
      <c r="F21" s="11" t="n"/>
    </row>
    <row r="22" ht="26" customHeight="1">
      <c r="A22" s="20" t="n"/>
      <c r="B22" s="21" t="inlineStr">
        <is>
          <t>Section</t>
        </is>
      </c>
      <c r="C22" s="21" t="inlineStr">
        <is>
          <t>Reference</t>
        </is>
      </c>
      <c r="D22" s="21" t="inlineStr">
        <is>
          <t>Description</t>
        </is>
      </c>
      <c r="E22" s="21" t="inlineStr">
        <is>
          <t>Items</t>
        </is>
      </c>
      <c r="F22" s="22" t="n"/>
    </row>
    <row r="23" ht="22" customHeight="1">
      <c r="A23" s="12" t="n"/>
      <c r="B23" s="23" t="inlineStr">
        <is>
          <t>A</t>
        </is>
      </c>
      <c r="C23" s="24" t="inlineStr">
        <is>
          <t>ELV - E</t>
        </is>
      </c>
      <c r="D23" s="25" t="inlineStr">
        <is>
          <t>Top Unit</t>
        </is>
      </c>
      <c r="E23" s="26" t="n">
        <v>21</v>
      </c>
      <c r="F23" s="15" t="n"/>
    </row>
    <row r="24" ht="22" customHeight="1">
      <c r="A24" s="16" t="n"/>
      <c r="B24" s="27" t="inlineStr">
        <is>
          <t>B</t>
        </is>
      </c>
      <c r="C24" s="28" t="inlineStr">
        <is>
          <t>ELV - F</t>
        </is>
      </c>
      <c r="D24" s="29" t="inlineStr">
        <is>
          <t>Top Unit</t>
        </is>
      </c>
      <c r="E24" s="30" t="n">
        <v>12</v>
      </c>
      <c r="F24" s="19" t="n"/>
    </row>
    <row r="25" ht="22" customHeight="1">
      <c r="A25" s="12" t="n"/>
      <c r="B25" s="23" t="inlineStr">
        <is>
          <t>C</t>
        </is>
      </c>
      <c r="C25" s="24" t="inlineStr">
        <is>
          <t>ELV - E</t>
        </is>
      </c>
      <c r="D25" s="25" t="inlineStr">
        <is>
          <t>Bottom Unit</t>
        </is>
      </c>
      <c r="E25" s="26" t="n">
        <v>18</v>
      </c>
      <c r="F25" s="15" t="n"/>
    </row>
    <row r="26" ht="22" customHeight="1">
      <c r="A26" s="16" t="n"/>
      <c r="B26" s="27" t="inlineStr">
        <is>
          <t>D</t>
        </is>
      </c>
      <c r="C26" s="28" t="inlineStr">
        <is>
          <t>ELV - F</t>
        </is>
      </c>
      <c r="D26" s="29" t="inlineStr">
        <is>
          <t>Bottom Unit</t>
        </is>
      </c>
      <c r="E26" s="30" t="n">
        <v>24</v>
      </c>
      <c r="F26" s="19" t="n"/>
    </row>
    <row r="27" ht="22" customHeight="1">
      <c r="A27" s="12" t="n"/>
      <c r="B27" s="23" t="inlineStr">
        <is>
          <t>E</t>
        </is>
      </c>
      <c r="C27" s="24" t="inlineStr">
        <is>
          <t>ELV - G1</t>
        </is>
      </c>
      <c r="D27" s="25" t="inlineStr">
        <is>
          <t>Island Counter</t>
        </is>
      </c>
      <c r="E27" s="26" t="n">
        <v>15</v>
      </c>
      <c r="F27" s="15" t="n"/>
    </row>
    <row r="28" ht="8" customHeight="1"/>
    <row r="29" ht="3" customHeight="1">
      <c r="A29" s="1" t="n"/>
      <c r="B29" s="1" t="n"/>
      <c r="C29" s="1" t="n"/>
      <c r="D29" s="1" t="n"/>
      <c r="E29" s="1" t="n"/>
      <c r="F29" s="1" t="n"/>
    </row>
    <row r="30" ht="20" customHeight="1">
      <c r="A30" s="31" t="inlineStr">
        <is>
          <t>All quantities subject to field verification. Unit rates to be inserted by tendering contractor.</t>
        </is>
      </c>
    </row>
  </sheetData>
  <mergeCells count="18">
    <mergeCell ref="C16:E16"/>
    <mergeCell ref="C11:E11"/>
    <mergeCell ref="C13:E13"/>
    <mergeCell ref="C19:E19"/>
    <mergeCell ref="B21:E21"/>
    <mergeCell ref="C8:E8"/>
    <mergeCell ref="C9:E9"/>
    <mergeCell ref="B15:E15"/>
    <mergeCell ref="C18:E18"/>
    <mergeCell ref="C17:E17"/>
    <mergeCell ref="B3:E3"/>
    <mergeCell ref="B5:E5"/>
    <mergeCell ref="B2:E2"/>
    <mergeCell ref="C7:E7"/>
    <mergeCell ref="A30:F30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7" customWidth="1" min="9" max="9"/>
    <col width="24" customWidth="1" min="10" max="10"/>
    <col width="20" customWidth="1" min="11" max="11"/>
    <col width="21" customWidth="1" min="12" max="12"/>
    <col width="21" customWidth="1" min="13" max="13"/>
    <col width="17" customWidth="1" min="14" max="14"/>
    <col width="13" customWidth="1" min="15" max="15"/>
    <col width="20" customWidth="1" min="16" max="16"/>
    <col width="19" customWidth="1" min="17" max="17"/>
    <col width="16" customWidth="1" min="18" max="18"/>
    <col width="17" customWidth="1" min="19" max="19"/>
    <col width="18" customWidth="1" min="20" max="20"/>
    <col width="16" customWidth="1" min="21" max="21"/>
    <col width="16" customWidth="1" min="22" max="22"/>
    <col width="18" customWidth="1" min="23" max="23"/>
    <col width="16" customWidth="1" min="24" max="24"/>
    <col width="16" customWidth="1" min="25" max="25"/>
    <col width="14" customWidth="1" min="26" max="26"/>
    <col width="16" customWidth="1" min="27" max="27"/>
    <col width="12" customWidth="1" min="28" max="28"/>
    <col width="15" customWidth="1" min="29" max="29"/>
    <col width="12" customWidth="1" min="30" max="30"/>
    <col width="14" customWidth="1" min="31" max="31"/>
    <col width="12" customWidth="1" min="32" max="32"/>
    <col width="8" customWidth="1" min="33" max="33"/>
    <col width="8" customWidth="1" min="34" max="34"/>
    <col width="8" customWidth="1" min="35" max="35"/>
    <col width="224" customWidth="1" min="36" max="36"/>
    <col width="3.5" customWidth="1" min="37" max="37"/>
    <col width="3.5" customWidth="1" min="38" max="38"/>
  </cols>
  <sheetData>
    <row r="1" ht="30" customHeight="1">
      <c r="A1" s="32" t="inlineStr">
        <is>
          <t>BILL OF QUANTITIES – KITCHEN FITOUT (TYPE C01)   ·   AL WAHA RESIDENCE 01   ·   EXPO CITY DUBAI   ·   Phase-01 – Mobility District</t>
        </is>
      </c>
      <c r="AK1" s="33" t="n"/>
      <c r="AL1" s="33" t="n"/>
    </row>
    <row r="2" ht="24" customHeight="1">
      <c r="A2" s="34" t="n"/>
      <c r="B2" s="34" t="n"/>
      <c r="C2" s="34" t="n"/>
      <c r="D2" s="34" t="n"/>
      <c r="E2" s="34" t="n"/>
      <c r="F2" s="34" t="n"/>
      <c r="G2" s="34" t="n"/>
      <c r="H2" s="35" t="n">
        <v>58</v>
      </c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3" t="n"/>
      <c r="AL2" s="33" t="n"/>
    </row>
    <row r="3" ht="32" customHeight="1">
      <c r="A3" s="36" t="n"/>
      <c r="B3" s="37" t="inlineStr">
        <is>
          <t xml:space="preserve">  ELV - E  </t>
        </is>
      </c>
      <c r="C3" s="38" t="inlineStr">
        <is>
          <t>TOP UNIT</t>
        </is>
      </c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36" t="n"/>
      <c r="AH3" s="36" t="n"/>
      <c r="AI3" s="36" t="n"/>
      <c r="AJ3" s="39" t="inlineStr">
        <is>
          <t>Unit overall dimensions: L 2.07m × W 0.38m × H 1.00m</t>
        </is>
      </c>
      <c r="AK3" s="33" t="n"/>
      <c r="AL3" s="33" t="n"/>
    </row>
    <row r="4" ht="60" customHeight="1">
      <c r="A4" s="40" t="inlineStr"/>
      <c r="B4" s="40" t="inlineStr">
        <is>
          <t>S.No</t>
        </is>
      </c>
      <c r="C4" s="40" t="inlineStr">
        <is>
          <t>Description</t>
        </is>
      </c>
      <c r="D4" s="40" t="inlineStr">
        <is>
          <t>Unit</t>
        </is>
      </c>
      <c r="E4" s="40" t="inlineStr">
        <is>
          <t>Times</t>
        </is>
      </c>
      <c r="F4" s="40" t="inlineStr">
        <is>
          <t>L</t>
        </is>
      </c>
      <c r="G4" s="40" t="inlineStr">
        <is>
          <t>W</t>
        </is>
      </c>
      <c r="H4" s="40" t="inlineStr">
        <is>
          <t>H</t>
        </is>
      </c>
      <c r="I4" s="40" t="inlineStr">
        <is>
          <t>Total QTY</t>
        </is>
      </c>
      <c r="J4" s="40" t="inlineStr">
        <is>
          <t>6mm both
Melamine MR MDF Sheet</t>
        </is>
      </c>
      <c r="K4" s="40" t="inlineStr">
        <is>
          <t>9mm both Melamine
MR MDF Sheet</t>
        </is>
      </c>
      <c r="L4" s="40" t="inlineStr">
        <is>
          <t>12mm both Melamine
MR MDF Sheet</t>
        </is>
      </c>
      <c r="M4" s="40" t="inlineStr">
        <is>
          <t>18mm both Melamine
MR MDF Sheet</t>
        </is>
      </c>
      <c r="N4" s="40" t="inlineStr">
        <is>
          <t>18mm Plain
MR MDF Sheet</t>
        </is>
      </c>
      <c r="O4" s="40" t="inlineStr">
        <is>
          <t>Plywood</t>
        </is>
      </c>
      <c r="P4" s="40" t="inlineStr">
        <is>
          <t>25mm Plain MR MDF</t>
        </is>
      </c>
      <c r="Q4" s="40" t="inlineStr">
        <is>
          <t>PL-01
Laminate (0.8mm)</t>
        </is>
      </c>
      <c r="R4" s="40" t="inlineStr">
        <is>
          <t>Full overlay
Hinges</t>
        </is>
      </c>
      <c r="S4" s="40" t="inlineStr">
        <is>
          <t>Drawer Runner
(0.5m)</t>
        </is>
      </c>
      <c r="T4" s="40" t="inlineStr">
        <is>
          <t>PVC Lipping
Gray Melamine</t>
        </is>
      </c>
      <c r="U4" s="40" t="inlineStr">
        <is>
          <t>PVC Lipping
25mm</t>
        </is>
      </c>
      <c r="V4" s="40" t="inlineStr">
        <is>
          <t>PVC Lipping
18mm</t>
        </is>
      </c>
      <c r="W4" s="40" t="inlineStr">
        <is>
          <t>Aluminium
Skirting</t>
        </is>
      </c>
      <c r="X4" s="40" t="inlineStr">
        <is>
          <t>PVC Lipping
12mm</t>
        </is>
      </c>
      <c r="Y4" s="40" t="inlineStr">
        <is>
          <t>12mm MR MDF</t>
        </is>
      </c>
      <c r="Z4" s="40" t="inlineStr">
        <is>
          <t>Timber (M³)</t>
        </is>
      </c>
      <c r="AA4" s="40" t="inlineStr">
        <is>
          <t>Kitchen Mixer
Tap</t>
        </is>
      </c>
      <c r="AB4" s="40" t="inlineStr">
        <is>
          <t>Exhaust
Fan</t>
        </is>
      </c>
      <c r="AC4" s="40" t="inlineStr">
        <is>
          <t>Gas Hob
(4 Burner)</t>
        </is>
      </c>
      <c r="AD4" s="40" t="inlineStr">
        <is>
          <t>Built-in
Oven</t>
        </is>
      </c>
      <c r="AE4" s="40" t="inlineStr">
        <is>
          <t>Stainless
Steel Sink</t>
        </is>
      </c>
      <c r="AF4" s="40" t="inlineStr">
        <is>
          <t>Cabinet
Handle</t>
        </is>
      </c>
      <c r="AG4" s="41" t="n"/>
      <c r="AH4" s="41" t="n"/>
      <c r="AI4" s="41" t="n"/>
      <c r="AJ4" s="40" t="inlineStr">
        <is>
          <t>Remarks</t>
        </is>
      </c>
      <c r="AK4" s="33" t="n"/>
      <c r="AL4" s="33" t="n"/>
    </row>
    <row r="5" ht="28" customHeight="1">
      <c r="A5" s="42" t="n"/>
      <c r="B5" s="42" t="n"/>
      <c r="C5" s="43" t="inlineStr">
        <is>
          <t>Carcass - A</t>
        </is>
      </c>
      <c r="D5" s="42" t="n"/>
      <c r="E5" s="42" t="n"/>
      <c r="F5" s="44" t="n">
        <v>2.07</v>
      </c>
      <c r="G5" s="44" t="inlineStr"/>
      <c r="H5" s="44" t="n">
        <v>1</v>
      </c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33" t="n"/>
      <c r="AL5" s="33" t="n"/>
    </row>
    <row r="6" ht="16" customHeight="1">
      <c r="A6" s="45" t="n"/>
      <c r="B6" s="46" t="inlineStr">
        <is>
          <t>A1</t>
        </is>
      </c>
      <c r="C6" s="47" t="inlineStr">
        <is>
          <t>9mm MDF wall back panel</t>
        </is>
      </c>
      <c r="D6" s="46" t="inlineStr">
        <is>
          <t>M²</t>
        </is>
      </c>
      <c r="E6" s="46" t="n"/>
      <c r="F6" s="46" t="n">
        <v>2.07</v>
      </c>
      <c r="G6" s="46" t="n"/>
      <c r="H6" s="46" t="n">
        <v>1</v>
      </c>
      <c r="I6" s="48">
        <f>F6*H6</f>
        <v/>
      </c>
      <c r="J6" s="46" t="n"/>
      <c r="K6" s="49">
        <f>I6</f>
        <v/>
      </c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33" t="n"/>
      <c r="AH6" s="33" t="n"/>
      <c r="AI6" s="33" t="n"/>
      <c r="AJ6" s="50" t="inlineStr"/>
      <c r="AK6" s="33" t="n"/>
      <c r="AL6" s="33" t="n"/>
    </row>
    <row r="7" ht="16" customHeight="1">
      <c r="A7" s="51" t="n"/>
      <c r="B7" s="52" t="inlineStr">
        <is>
          <t>A2</t>
        </is>
      </c>
      <c r="C7" s="53" t="inlineStr">
        <is>
          <t>18mm MDF bottom panel</t>
        </is>
      </c>
      <c r="D7" s="52" t="inlineStr">
        <is>
          <t>M²</t>
        </is>
      </c>
      <c r="E7" s="52" t="n"/>
      <c r="F7" s="52" t="n">
        <v>2.07</v>
      </c>
      <c r="G7" s="52" t="n">
        <v>0.38</v>
      </c>
      <c r="H7" s="52" t="n"/>
      <c r="I7" s="54">
        <f>F7*G7</f>
        <v/>
      </c>
      <c r="J7" s="52" t="n"/>
      <c r="K7" s="52" t="n"/>
      <c r="L7" s="52" t="n"/>
      <c r="M7" s="49">
        <f>I7</f>
        <v/>
      </c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5" t="n"/>
      <c r="AH7" s="55" t="n"/>
      <c r="AI7" s="55" t="n"/>
      <c r="AJ7" s="56" t="inlineStr"/>
      <c r="AK7" s="33" t="n"/>
      <c r="AL7" s="33" t="n"/>
    </row>
    <row r="8" ht="16" customHeight="1">
      <c r="A8" s="45" t="n"/>
      <c r="B8" s="46" t="inlineStr">
        <is>
          <t>A3</t>
        </is>
      </c>
      <c r="C8" s="47" t="inlineStr">
        <is>
          <t>18mm MDF top panel</t>
        </is>
      </c>
      <c r="D8" s="46" t="inlineStr">
        <is>
          <t>M²</t>
        </is>
      </c>
      <c r="E8" s="46" t="n"/>
      <c r="F8" s="46" t="n">
        <v>2.07</v>
      </c>
      <c r="G8" s="46" t="n">
        <v>0.38</v>
      </c>
      <c r="H8" s="46" t="n"/>
      <c r="I8" s="48">
        <f>F8*G8</f>
        <v/>
      </c>
      <c r="J8" s="46" t="n"/>
      <c r="K8" s="46" t="n"/>
      <c r="L8" s="46" t="n"/>
      <c r="M8" s="49">
        <f>I8</f>
        <v/>
      </c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33" t="n"/>
      <c r="AH8" s="33" t="n"/>
      <c r="AI8" s="33" t="n"/>
      <c r="AJ8" s="50" t="inlineStr"/>
      <c r="AK8" s="33" t="n"/>
      <c r="AL8" s="33" t="n"/>
    </row>
    <row r="9" ht="16" customHeight="1">
      <c r="A9" s="51" t="n"/>
      <c r="B9" s="52" t="inlineStr">
        <is>
          <t>A4</t>
        </is>
      </c>
      <c r="C9" s="53" t="inlineStr">
        <is>
          <t>18mm MDF side panels</t>
        </is>
      </c>
      <c r="D9" s="52" t="inlineStr">
        <is>
          <t>M²</t>
        </is>
      </c>
      <c r="E9" s="52" t="n">
        <v>2</v>
      </c>
      <c r="F9" s="52" t="n"/>
      <c r="G9" s="52" t="n">
        <v>0.38</v>
      </c>
      <c r="H9" s="52" t="n">
        <v>1</v>
      </c>
      <c r="I9" s="54">
        <f>=G9*H9*E9</f>
        <v/>
      </c>
      <c r="J9" s="52" t="n"/>
      <c r="K9" s="52" t="n"/>
      <c r="L9" s="52" t="n"/>
      <c r="M9" s="49">
        <f>I9</f>
        <v/>
      </c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5" t="n"/>
      <c r="AH9" s="55" t="n"/>
      <c r="AI9" s="55" t="n"/>
      <c r="AJ9" s="56" t="inlineStr"/>
      <c r="AK9" s="33" t="n"/>
      <c r="AL9" s="33" t="n"/>
    </row>
    <row r="10" ht="16" customHeight="1">
      <c r="A10" s="45" t="n"/>
      <c r="B10" s="46" t="inlineStr">
        <is>
          <t>A5</t>
        </is>
      </c>
      <c r="C10" s="47" t="inlineStr">
        <is>
          <t>18mm MDF internal dividers</t>
        </is>
      </c>
      <c r="D10" s="46" t="inlineStr">
        <is>
          <t>M²</t>
        </is>
      </c>
      <c r="E10" s="46" t="n">
        <v>8</v>
      </c>
      <c r="F10" s="46" t="n"/>
      <c r="G10" s="46" t="n">
        <v>0.38</v>
      </c>
      <c r="H10" s="46" t="n">
        <v>1</v>
      </c>
      <c r="I10" s="48">
        <f>=G10*H10*E10</f>
        <v/>
      </c>
      <c r="J10" s="46" t="n"/>
      <c r="K10" s="46" t="n"/>
      <c r="L10" s="46" t="n"/>
      <c r="M10" s="49">
        <f>I10</f>
        <v/>
      </c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33" t="n"/>
      <c r="AH10" s="33" t="n"/>
      <c r="AI10" s="33" t="n"/>
      <c r="AJ10" s="50" t="inlineStr"/>
      <c r="AK10" s="33" t="n"/>
      <c r="AL10" s="33" t="n"/>
    </row>
    <row r="11" ht="16" customHeight="1">
      <c r="A11" s="51" t="n"/>
      <c r="B11" s="52" t="inlineStr">
        <is>
          <t>A6</t>
        </is>
      </c>
      <c r="C11" s="53" t="inlineStr">
        <is>
          <t>18mm MDF fixed shelves</t>
        </is>
      </c>
      <c r="D11" s="52" t="inlineStr">
        <is>
          <t>M²</t>
        </is>
      </c>
      <c r="E11" s="52" t="n">
        <v>9</v>
      </c>
      <c r="F11" s="52" t="n">
        <v>0.6</v>
      </c>
      <c r="G11" s="52" t="n">
        <v>0.38</v>
      </c>
      <c r="H11" s="52" t="n"/>
      <c r="I11" s="54">
        <f>=F11*G11*E11</f>
        <v/>
      </c>
      <c r="J11" s="52" t="n"/>
      <c r="K11" s="52" t="n"/>
      <c r="L11" s="52" t="n"/>
      <c r="M11" s="49">
        <f>I11</f>
        <v/>
      </c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5" t="n"/>
      <c r="AH11" s="55" t="n"/>
      <c r="AI11" s="55" t="n"/>
      <c r="AJ11" s="56" t="inlineStr"/>
      <c r="AK11" s="33" t="n"/>
      <c r="AL11" s="33" t="n"/>
    </row>
    <row r="12" ht="16" customHeight="1">
      <c r="A12" s="45" t="n"/>
      <c r="B12" s="46" t="inlineStr">
        <is>
          <t>A7</t>
        </is>
      </c>
      <c r="C12" s="47" t="inlineStr">
        <is>
          <t>PVC lipping to all exposed edges</t>
        </is>
      </c>
      <c r="D12" s="46" t="inlineStr">
        <is>
          <t>LM</t>
        </is>
      </c>
      <c r="E12" s="46" t="n"/>
      <c r="F12" s="46" t="n"/>
      <c r="G12" s="46" t="n"/>
      <c r="H12" s="46" t="n"/>
      <c r="I12" s="48" t="n">
        <v>14.14</v>
      </c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9" t="n">
        <v>14.14</v>
      </c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33" t="n"/>
      <c r="AH12" s="33" t="n"/>
      <c r="AI12" s="33" t="n"/>
      <c r="AJ12" s="50" t="inlineStr">
        <is>
          <t>Total lipping per unit: 14.14 lm</t>
        </is>
      </c>
      <c r="AK12" s="33" t="n"/>
      <c r="AL12" s="33" t="n"/>
    </row>
    <row r="13" ht="28" customHeight="1">
      <c r="A13" s="42" t="n"/>
      <c r="B13" s="42" t="n"/>
      <c r="C13" s="43" t="inlineStr">
        <is>
          <t>Shutter - A</t>
        </is>
      </c>
      <c r="D13" s="42" t="n"/>
      <c r="E13" s="42" t="n"/>
      <c r="F13" s="44" t="n">
        <v>2.07</v>
      </c>
      <c r="G13" s="44" t="inlineStr"/>
      <c r="H13" s="44" t="n">
        <v>1</v>
      </c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  <c r="AD13" s="42" t="n"/>
      <c r="AE13" s="42" t="n"/>
      <c r="AF13" s="42" t="n"/>
      <c r="AG13" s="42" t="n"/>
      <c r="AH13" s="42" t="n"/>
      <c r="AI13" s="42" t="n"/>
      <c r="AJ13" s="42" t="n"/>
      <c r="AK13" s="33" t="n"/>
      <c r="AL13" s="33" t="n"/>
    </row>
    <row r="14" ht="16" customHeight="1">
      <c r="A14" s="45" t="n"/>
      <c r="B14" s="46" t="inlineStr">
        <is>
          <t>A8</t>
        </is>
      </c>
      <c r="C14" s="47" t="inlineStr">
        <is>
          <t>18mm MDF plain shutter panel</t>
        </is>
      </c>
      <c r="D14" s="46" t="inlineStr">
        <is>
          <t>M²</t>
        </is>
      </c>
      <c r="E14" s="46" t="n"/>
      <c r="F14" s="46" t="n">
        <v>2.07</v>
      </c>
      <c r="G14" s="46" t="n"/>
      <c r="H14" s="46" t="n">
        <v>1</v>
      </c>
      <c r="I14" s="48" t="n">
        <v>4.14</v>
      </c>
      <c r="J14" s="46" t="n"/>
      <c r="K14" s="46" t="n"/>
      <c r="L14" s="46" t="n"/>
      <c r="M14" s="46" t="n"/>
      <c r="N14" s="49" t="n">
        <v>1</v>
      </c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33" t="n"/>
      <c r="AH14" s="33" t="n"/>
      <c r="AI14" s="33" t="n"/>
      <c r="AJ14" s="50" t="inlineStr">
        <is>
          <t>5 shutter doors; laminate PL-01 both faces = 4.14 m²</t>
        </is>
      </c>
      <c r="AK14" s="33" t="n"/>
      <c r="AL14" s="33" t="n"/>
    </row>
    <row r="15" ht="16" customHeight="1">
      <c r="A15" s="51" t="n"/>
      <c r="B15" s="52" t="inlineStr">
        <is>
          <t>A9</t>
        </is>
      </c>
      <c r="C15" s="53" t="inlineStr">
        <is>
          <t>PVC lipping to shutter edges</t>
        </is>
      </c>
      <c r="D15" s="52" t="inlineStr">
        <is>
          <t>LM</t>
        </is>
      </c>
      <c r="E15" s="52" t="n"/>
      <c r="F15" s="52" t="n"/>
      <c r="G15" s="52" t="n"/>
      <c r="H15" s="52" t="n"/>
      <c r="I15" s="54" t="n">
        <v>14.14</v>
      </c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49" t="n">
        <v>14.14</v>
      </c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5" t="n"/>
      <c r="AH15" s="55" t="n"/>
      <c r="AI15" s="55" t="n"/>
      <c r="AJ15" s="56" t="inlineStr">
        <is>
          <t>Total lipping per unit: 14.14 lm</t>
        </is>
      </c>
      <c r="AK15" s="33" t="n"/>
      <c r="AL15" s="33" t="n"/>
    </row>
    <row r="16" ht="28" customHeight="1">
      <c r="A16" s="42" t="n"/>
      <c r="B16" s="42" t="n"/>
      <c r="C16" s="43" t="inlineStr">
        <is>
          <t>Carcass - B</t>
        </is>
      </c>
      <c r="D16" s="42" t="n"/>
      <c r="E16" s="42" t="n"/>
      <c r="F16" s="44" t="n">
        <v>0.44</v>
      </c>
      <c r="G16" s="44" t="inlineStr"/>
      <c r="H16" s="44" t="n">
        <v>1.45</v>
      </c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33" t="n"/>
      <c r="AL16" s="33" t="n"/>
    </row>
    <row r="17" ht="16" customHeight="1">
      <c r="A17" s="45" t="n"/>
      <c r="B17" s="46" t="inlineStr">
        <is>
          <t>A10</t>
        </is>
      </c>
      <c r="C17" s="47" t="inlineStr">
        <is>
          <t>9mm MDF wall back panel</t>
        </is>
      </c>
      <c r="D17" s="46" t="inlineStr">
        <is>
          <t>M²</t>
        </is>
      </c>
      <c r="E17" s="46" t="n"/>
      <c r="F17" s="46" t="n">
        <v>0.44</v>
      </c>
      <c r="G17" s="46" t="n"/>
      <c r="H17" s="46" t="n">
        <v>1.45</v>
      </c>
      <c r="I17" s="48">
        <f>F17*H17</f>
        <v/>
      </c>
      <c r="J17" s="46" t="n"/>
      <c r="K17" s="49">
        <f>I17</f>
        <v/>
      </c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33" t="n"/>
      <c r="AH17" s="33" t="n"/>
      <c r="AI17" s="33" t="n"/>
      <c r="AJ17" s="50" t="inlineStr">
        <is>
          <t>Carcass-B dims: L 0.44m × W 0.38m × H 1.45m</t>
        </is>
      </c>
      <c r="AK17" s="33" t="n"/>
      <c r="AL17" s="33" t="n"/>
    </row>
    <row r="18" ht="16" customHeight="1">
      <c r="A18" s="51" t="n"/>
      <c r="B18" s="52" t="inlineStr">
        <is>
          <t>A11</t>
        </is>
      </c>
      <c r="C18" s="53" t="inlineStr">
        <is>
          <t>18mm MDF bottom panel</t>
        </is>
      </c>
      <c r="D18" s="52" t="inlineStr">
        <is>
          <t>M²</t>
        </is>
      </c>
      <c r="E18" s="52" t="n"/>
      <c r="F18" s="52" t="n">
        <v>0.44</v>
      </c>
      <c r="G18" s="52" t="n">
        <v>0.38</v>
      </c>
      <c r="H18" s="52" t="n"/>
      <c r="I18" s="54">
        <f>F18*G18</f>
        <v/>
      </c>
      <c r="J18" s="52" t="n"/>
      <c r="K18" s="52" t="n"/>
      <c r="L18" s="52" t="n"/>
      <c r="M18" s="49">
        <f>I18</f>
        <v/>
      </c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5" t="n"/>
      <c r="AH18" s="55" t="n"/>
      <c r="AI18" s="55" t="n"/>
      <c r="AJ18" s="56" t="inlineStr"/>
      <c r="AK18" s="33" t="n"/>
      <c r="AL18" s="33" t="n"/>
    </row>
    <row r="19" ht="16" customHeight="1">
      <c r="A19" s="45" t="n"/>
      <c r="B19" s="46" t="inlineStr">
        <is>
          <t>A12</t>
        </is>
      </c>
      <c r="C19" s="47" t="inlineStr">
        <is>
          <t>18mm MDF top panel</t>
        </is>
      </c>
      <c r="D19" s="46" t="inlineStr">
        <is>
          <t>M²</t>
        </is>
      </c>
      <c r="E19" s="46" t="n"/>
      <c r="F19" s="46" t="n">
        <v>0.44</v>
      </c>
      <c r="G19" s="46" t="n">
        <v>0.38</v>
      </c>
      <c r="H19" s="46" t="n"/>
      <c r="I19" s="48">
        <f>F19*G19</f>
        <v/>
      </c>
      <c r="J19" s="46" t="n"/>
      <c r="K19" s="46" t="n"/>
      <c r="L19" s="46" t="n"/>
      <c r="M19" s="49">
        <f>I19</f>
        <v/>
      </c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33" t="n"/>
      <c r="AH19" s="33" t="n"/>
      <c r="AI19" s="33" t="n"/>
      <c r="AJ19" s="50" t="inlineStr"/>
      <c r="AK19" s="33" t="n"/>
      <c r="AL19" s="33" t="n"/>
    </row>
    <row r="20" ht="16" customHeight="1">
      <c r="A20" s="51" t="n"/>
      <c r="B20" s="52" t="inlineStr">
        <is>
          <t>A13</t>
        </is>
      </c>
      <c r="C20" s="53" t="inlineStr">
        <is>
          <t>18mm MDF side panels</t>
        </is>
      </c>
      <c r="D20" s="52" t="inlineStr">
        <is>
          <t>M²</t>
        </is>
      </c>
      <c r="E20" s="52" t="n">
        <v>2</v>
      </c>
      <c r="F20" s="52" t="n"/>
      <c r="G20" s="52" t="n">
        <v>0.38</v>
      </c>
      <c r="H20" s="52" t="n">
        <v>1.45</v>
      </c>
      <c r="I20" s="54">
        <f>=G20*H20*E20</f>
        <v/>
      </c>
      <c r="J20" s="52" t="n"/>
      <c r="K20" s="52" t="n"/>
      <c r="L20" s="52" t="n"/>
      <c r="M20" s="49">
        <f>I20</f>
        <v/>
      </c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5" t="n"/>
      <c r="AH20" s="55" t="n"/>
      <c r="AI20" s="55" t="n"/>
      <c r="AJ20" s="56" t="inlineStr"/>
      <c r="AK20" s="33" t="n"/>
      <c r="AL20" s="33" t="n"/>
    </row>
    <row r="21" ht="16" customHeight="1">
      <c r="A21" s="45" t="n"/>
      <c r="B21" s="46" t="inlineStr">
        <is>
          <t>A14</t>
        </is>
      </c>
      <c r="C21" s="47" t="inlineStr">
        <is>
          <t>18mm MDF internal dividers</t>
        </is>
      </c>
      <c r="D21" s="46" t="inlineStr">
        <is>
          <t>M²</t>
        </is>
      </c>
      <c r="E21" s="46" t="n">
        <v>8</v>
      </c>
      <c r="F21" s="46" t="n"/>
      <c r="G21" s="46" t="n">
        <v>0.38</v>
      </c>
      <c r="H21" s="46" t="n">
        <v>1.45</v>
      </c>
      <c r="I21" s="48">
        <f>=G21*H21*E21</f>
        <v/>
      </c>
      <c r="J21" s="46" t="n"/>
      <c r="K21" s="46" t="n"/>
      <c r="L21" s="46" t="n"/>
      <c r="M21" s="49">
        <f>I21</f>
        <v/>
      </c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33" t="n"/>
      <c r="AH21" s="33" t="n"/>
      <c r="AI21" s="33" t="n"/>
      <c r="AJ21" s="50" t="inlineStr"/>
      <c r="AK21" s="33" t="n"/>
      <c r="AL21" s="33" t="n"/>
    </row>
    <row r="22" ht="16" customHeight="1">
      <c r="A22" s="51" t="n"/>
      <c r="B22" s="52" t="inlineStr">
        <is>
          <t>A15</t>
        </is>
      </c>
      <c r="C22" s="53" t="inlineStr">
        <is>
          <t>18mm MDF fixed shelves</t>
        </is>
      </c>
      <c r="D22" s="52" t="inlineStr">
        <is>
          <t>M²</t>
        </is>
      </c>
      <c r="E22" s="52" t="n">
        <v>3</v>
      </c>
      <c r="F22" s="52" t="n">
        <v>0.44</v>
      </c>
      <c r="G22" s="52" t="n">
        <v>0.38</v>
      </c>
      <c r="H22" s="52" t="n"/>
      <c r="I22" s="54">
        <f>=F22*G22*E22</f>
        <v/>
      </c>
      <c r="J22" s="52" t="n"/>
      <c r="K22" s="52" t="n"/>
      <c r="L22" s="52" t="n"/>
      <c r="M22" s="49">
        <f>I22</f>
        <v/>
      </c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5" t="n"/>
      <c r="AH22" s="55" t="n"/>
      <c r="AI22" s="55" t="n"/>
      <c r="AJ22" s="56" t="inlineStr"/>
      <c r="AK22" s="33" t="n"/>
      <c r="AL22" s="33" t="n"/>
    </row>
    <row r="23" ht="16" customHeight="1">
      <c r="A23" s="45" t="n"/>
      <c r="B23" s="46" t="inlineStr">
        <is>
          <t>A16</t>
        </is>
      </c>
      <c r="C23" s="47" t="inlineStr">
        <is>
          <t>PVC lipping to all exposed edges</t>
        </is>
      </c>
      <c r="D23" s="46" t="inlineStr">
        <is>
          <t>LM</t>
        </is>
      </c>
      <c r="E23" s="46" t="n"/>
      <c r="F23" s="46" t="n"/>
      <c r="G23" s="46" t="n"/>
      <c r="H23" s="46" t="n"/>
      <c r="I23" s="48" t="n">
        <v>24.72</v>
      </c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9" t="n">
        <v>24.72</v>
      </c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33" t="n"/>
      <c r="AH23" s="33" t="n"/>
      <c r="AI23" s="33" t="n"/>
      <c r="AJ23" s="50" t="inlineStr">
        <is>
          <t>Total lipping per unit: 24.72 lm</t>
        </is>
      </c>
      <c r="AK23" s="33" t="n"/>
      <c r="AL23" s="33" t="n"/>
    </row>
    <row r="24" ht="28" customHeight="1">
      <c r="A24" s="42" t="n"/>
      <c r="B24" s="42" t="n"/>
      <c r="C24" s="43" t="inlineStr">
        <is>
          <t>Shutter - B</t>
        </is>
      </c>
      <c r="D24" s="42" t="n"/>
      <c r="E24" s="42" t="n"/>
      <c r="F24" s="44" t="n">
        <v>0.44</v>
      </c>
      <c r="G24" s="44" t="inlineStr"/>
      <c r="H24" s="44" t="n">
        <v>1.45</v>
      </c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33" t="n"/>
      <c r="AL24" s="33" t="n"/>
    </row>
    <row r="25" ht="16" customHeight="1">
      <c r="A25" s="45" t="n"/>
      <c r="B25" s="46" t="inlineStr">
        <is>
          <t>A17</t>
        </is>
      </c>
      <c r="C25" s="47" t="inlineStr">
        <is>
          <t>18mm MDF plain shutter panel</t>
        </is>
      </c>
      <c r="D25" s="46" t="inlineStr">
        <is>
          <t>M²</t>
        </is>
      </c>
      <c r="E25" s="46" t="n"/>
      <c r="F25" s="46" t="n">
        <v>0.44</v>
      </c>
      <c r="G25" s="46" t="n"/>
      <c r="H25" s="46" t="n">
        <v>1.45</v>
      </c>
      <c r="I25" s="48" t="n">
        <v>1.276</v>
      </c>
      <c r="J25" s="46" t="n"/>
      <c r="K25" s="46" t="n"/>
      <c r="L25" s="46" t="n"/>
      <c r="M25" s="46" t="n"/>
      <c r="N25" s="49" t="n">
        <v>1</v>
      </c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33" t="n"/>
      <c r="AH25" s="33" t="n"/>
      <c r="AI25" s="33" t="n"/>
      <c r="AJ25" s="50" t="inlineStr">
        <is>
          <t>1 shutter door; laminate PL-01 both faces = 1.276 m²</t>
        </is>
      </c>
      <c r="AK25" s="33" t="n"/>
      <c r="AL25" s="33" t="n"/>
    </row>
    <row r="26" ht="16" customHeight="1">
      <c r="A26" s="51" t="n"/>
      <c r="B26" s="52" t="inlineStr">
        <is>
          <t>A18</t>
        </is>
      </c>
      <c r="C26" s="53" t="inlineStr">
        <is>
          <t>PVC lipping to shutter edges</t>
        </is>
      </c>
      <c r="D26" s="52" t="inlineStr">
        <is>
          <t>LM</t>
        </is>
      </c>
      <c r="E26" s="52" t="n"/>
      <c r="F26" s="52" t="n"/>
      <c r="G26" s="52" t="n"/>
      <c r="H26" s="52" t="n"/>
      <c r="I26" s="54" t="n">
        <v>3.78</v>
      </c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49" t="n">
        <v>3.78</v>
      </c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5" t="n"/>
      <c r="AH26" s="55" t="n"/>
      <c r="AI26" s="55" t="n"/>
      <c r="AJ26" s="56" t="inlineStr">
        <is>
          <t>Total lipping per unit: 3.78 lm</t>
        </is>
      </c>
      <c r="AK26" s="33" t="n"/>
      <c r="AL26" s="33" t="n"/>
    </row>
    <row r="27" ht="28" customHeight="1">
      <c r="A27" s="42" t="n"/>
      <c r="B27" s="42" t="n"/>
      <c r="C27" s="43" t="inlineStr">
        <is>
          <t>Side Panel</t>
        </is>
      </c>
      <c r="D27" s="42" t="n"/>
      <c r="E27" s="42" t="n"/>
      <c r="F27" s="44" t="n">
        <v>0.65</v>
      </c>
      <c r="G27" s="44" t="inlineStr"/>
      <c r="H27" s="44" t="n">
        <v>2.7</v>
      </c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33" t="n"/>
      <c r="AL27" s="33" t="n"/>
    </row>
    <row r="28" ht="16" customHeight="1">
      <c r="A28" s="45" t="n"/>
      <c r="B28" s="46" t="inlineStr">
        <is>
          <t>A19</t>
        </is>
      </c>
      <c r="C28" s="47" t="inlineStr">
        <is>
          <t>25mm MDF exposed end panel</t>
        </is>
      </c>
      <c r="D28" s="46" t="inlineStr">
        <is>
          <t>M²</t>
        </is>
      </c>
      <c r="E28" s="46" t="n"/>
      <c r="F28" s="46" t="n">
        <v>0.65</v>
      </c>
      <c r="G28" s="46" t="n"/>
      <c r="H28" s="46" t="n">
        <v>2.7</v>
      </c>
      <c r="I28" s="48" t="n">
        <v>1.755</v>
      </c>
      <c r="J28" s="46" t="n"/>
      <c r="K28" s="46" t="n"/>
      <c r="L28" s="46" t="n"/>
      <c r="M28" s="46" t="n"/>
      <c r="N28" s="46" t="n"/>
      <c r="O28" s="46" t="n"/>
      <c r="P28" s="49" t="n">
        <v>1</v>
      </c>
      <c r="Q28" s="49" t="n">
        <v>1.755</v>
      </c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33" t="n"/>
      <c r="AH28" s="33" t="n"/>
      <c r="AI28" s="33" t="n"/>
      <c r="AJ28" s="50" t="inlineStr">
        <is>
          <t>25mm MDF = 1.755 m²; laminate coverage = 1.855 m²</t>
        </is>
      </c>
      <c r="AK28" s="33" t="n"/>
      <c r="AL28" s="33" t="n"/>
    </row>
    <row r="29" ht="16" customHeight="1">
      <c r="A29" s="51" t="n"/>
      <c r="B29" s="52" t="inlineStr">
        <is>
          <t>A20</t>
        </is>
      </c>
      <c r="C29" s="53" t="inlineStr">
        <is>
          <t>PVC lipping 25mm exposed edge</t>
        </is>
      </c>
      <c r="D29" s="52" t="inlineStr">
        <is>
          <t>LM</t>
        </is>
      </c>
      <c r="E29" s="52" t="n"/>
      <c r="F29" s="52" t="n"/>
      <c r="G29" s="52" t="n"/>
      <c r="H29" s="52" t="n"/>
      <c r="I29" s="54" t="n">
        <v>3.35</v>
      </c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49" t="n">
        <v>3.35</v>
      </c>
      <c r="U29" s="49" t="n">
        <v>3.35</v>
      </c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5" t="n"/>
      <c r="AH29" s="55" t="n"/>
      <c r="AI29" s="55" t="n"/>
      <c r="AJ29" s="56" t="inlineStr">
        <is>
          <t>Total per unit: 3.35 lm</t>
        </is>
      </c>
      <c r="AK29" s="33" t="n"/>
      <c r="AL29" s="33" t="n"/>
    </row>
    <row r="30" ht="28" customHeight="1">
      <c r="A30" s="42" t="n"/>
      <c r="B30" s="42" t="n"/>
      <c r="C30" s="43" t="inlineStr">
        <is>
          <t>Hardware</t>
        </is>
      </c>
      <c r="D30" s="42" t="n"/>
      <c r="E30" s="42" t="n"/>
      <c r="F30" s="44" t="inlineStr"/>
      <c r="G30" s="44" t="inlineStr"/>
      <c r="H30" s="44" t="inlineStr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33" t="n"/>
      <c r="AL30" s="33" t="n"/>
    </row>
    <row r="31" ht="16" customHeight="1">
      <c r="A31" s="45" t="n"/>
      <c r="B31" s="46" t="inlineStr">
        <is>
          <t>A21</t>
        </is>
      </c>
      <c r="C31" s="47" t="inlineStr">
        <is>
          <t>Ironmongery – Full overlay soft-close hinges</t>
        </is>
      </c>
      <c r="D31" s="46" t="inlineStr">
        <is>
          <t>Nr</t>
        </is>
      </c>
      <c r="E31" s="46" t="n">
        <v>12</v>
      </c>
      <c r="F31" s="46" t="n"/>
      <c r="G31" s="46" t="n"/>
      <c r="H31" s="46" t="n"/>
      <c r="I31" s="48">
        <f>E31</f>
        <v/>
      </c>
      <c r="J31" s="46" t="n"/>
      <c r="K31" s="46" t="n"/>
      <c r="L31" s="46" t="n"/>
      <c r="M31" s="46" t="n"/>
      <c r="N31" s="46" t="n"/>
      <c r="O31" s="46" t="n"/>
      <c r="P31" s="46" t="n"/>
      <c r="Q31" s="46" t="n"/>
      <c r="R31" s="49">
        <f>I31</f>
        <v/>
      </c>
      <c r="S31" s="46" t="n"/>
      <c r="T31" s="46" t="n"/>
      <c r="U31" s="46" t="n"/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33" t="n"/>
      <c r="AH31" s="33" t="n"/>
      <c r="AI31" s="33" t="n"/>
      <c r="AJ31" s="50" t="inlineStr">
        <is>
          <t>12 hinges per unit</t>
        </is>
      </c>
      <c r="AK31" s="33" t="n"/>
      <c r="AL31" s="33" t="n"/>
    </row>
    <row r="32" ht="20" customHeight="1">
      <c r="I32" s="57" t="inlineStr">
        <is>
          <t>Per Unit</t>
        </is>
      </c>
      <c r="J32" s="58">
        <f>SUM(J5:J31)</f>
        <v/>
      </c>
      <c r="K32" s="58">
        <f>SUM(K5:K31)</f>
        <v/>
      </c>
      <c r="L32" s="58">
        <f>SUM(L5:L31)</f>
        <v/>
      </c>
      <c r="M32" s="58">
        <f>SUM(M5:M31)</f>
        <v/>
      </c>
      <c r="N32" s="58">
        <f>SUM(N5:N31)</f>
        <v/>
      </c>
      <c r="O32" s="58">
        <f>SUM(O5:O31)</f>
        <v/>
      </c>
      <c r="P32" s="58">
        <f>SUM(P5:P31)</f>
        <v/>
      </c>
      <c r="Q32" s="58">
        <f>SUM(Q5:Q31)</f>
        <v/>
      </c>
      <c r="R32" s="58">
        <f>SUM(R5:R31)</f>
        <v/>
      </c>
      <c r="S32" s="58">
        <f>SUM(S5:S31)</f>
        <v/>
      </c>
      <c r="T32" s="58">
        <f>SUM(T5:T31)</f>
        <v/>
      </c>
      <c r="U32" s="58">
        <f>SUM(U5:U31)</f>
        <v/>
      </c>
      <c r="V32" s="58">
        <f>SUM(V5:V31)</f>
        <v/>
      </c>
      <c r="W32" s="58">
        <f>SUM(W5:W31)</f>
        <v/>
      </c>
      <c r="X32" s="58">
        <f>SUM(X5:X31)</f>
        <v/>
      </c>
      <c r="Y32" s="58">
        <f>SUM(Y5:Y31)</f>
        <v/>
      </c>
      <c r="Z32" s="58">
        <f>SUM(Z5:Z31)</f>
        <v/>
      </c>
      <c r="AA32" s="58">
        <f>SUM(AA5:AA31)</f>
        <v/>
      </c>
      <c r="AB32" s="58">
        <f>SUM(AB5:AB31)</f>
        <v/>
      </c>
      <c r="AC32" s="58">
        <f>SUM(AC5:AC31)</f>
        <v/>
      </c>
      <c r="AD32" s="58">
        <f>SUM(AD5:AD31)</f>
        <v/>
      </c>
      <c r="AE32" s="58">
        <f>SUM(AE5:AE31)</f>
        <v/>
      </c>
      <c r="AF32" s="58">
        <f>SUM(AF5:AF31)</f>
        <v/>
      </c>
      <c r="AK32" s="33" t="n"/>
      <c r="AL32" s="33" t="n"/>
    </row>
    <row r="33" ht="22" customHeight="1">
      <c r="H33" s="59">
        <f>H2</f>
        <v/>
      </c>
      <c r="I33" s="60" t="inlineStr">
        <is>
          <t>Total Unit</t>
        </is>
      </c>
      <c r="J33" s="61">
        <f>J32*H2/2.88</f>
        <v/>
      </c>
      <c r="K33" s="61">
        <f>K32*H2/2.88</f>
        <v/>
      </c>
      <c r="L33" s="61">
        <f>L32*H2/2.88</f>
        <v/>
      </c>
      <c r="M33" s="61">
        <f>M32*H2/2.88</f>
        <v/>
      </c>
      <c r="N33" s="61">
        <f>N32*H2/2.88</f>
        <v/>
      </c>
      <c r="O33" s="61">
        <f>O32*H2/2.88</f>
        <v/>
      </c>
      <c r="P33" s="61">
        <f>P32*H2/2.88</f>
        <v/>
      </c>
      <c r="Q33" s="61">
        <f>Q32*H2/2.88</f>
        <v/>
      </c>
      <c r="R33" s="61">
        <f>R32*H2</f>
        <v/>
      </c>
      <c r="S33" s="61">
        <f>S32*H2</f>
        <v/>
      </c>
      <c r="T33" s="61">
        <f>T32*H2/2.88</f>
        <v/>
      </c>
      <c r="U33" s="61">
        <f>U32*H2/2.88</f>
        <v/>
      </c>
      <c r="V33" s="61">
        <f>V32*H2/2.88</f>
        <v/>
      </c>
      <c r="W33" s="61">
        <f>W32*H2/2.88</f>
        <v/>
      </c>
      <c r="X33" s="61">
        <f>X32*H2/2.88</f>
        <v/>
      </c>
      <c r="Y33" s="61">
        <f>Y32*H2/2.88</f>
        <v/>
      </c>
      <c r="Z33" s="61">
        <f>Z32*H2/2.88</f>
        <v/>
      </c>
      <c r="AA33" s="61">
        <f>AA32*H2</f>
        <v/>
      </c>
      <c r="AB33" s="61">
        <f>AB32*H2</f>
        <v/>
      </c>
      <c r="AC33" s="61">
        <f>AC32*H2</f>
        <v/>
      </c>
      <c r="AD33" s="61">
        <f>AD32*H2</f>
        <v/>
      </c>
      <c r="AE33" s="61">
        <f>AE32*H2</f>
        <v/>
      </c>
      <c r="AF33" s="61">
        <f>AF32*H2</f>
        <v/>
      </c>
      <c r="AK33" s="33" t="n"/>
      <c r="AL33" s="33" t="n"/>
    </row>
    <row r="34" ht="10" customHeight="1">
      <c r="AK34" s="33" t="n"/>
      <c r="AL34" s="33" t="n"/>
    </row>
    <row r="35" ht="32" customHeight="1">
      <c r="A35" s="36" t="n"/>
      <c r="B35" s="37" t="inlineStr">
        <is>
          <t xml:space="preserve">  ELV - F  </t>
        </is>
      </c>
      <c r="C35" s="38" t="inlineStr">
        <is>
          <t>TOP UNIT</t>
        </is>
      </c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9" t="inlineStr">
        <is>
          <t>Unit overall dimensions: L 1.18m × W 0.62m × H 1.75m. Shelf layout depicted incorrectly on drawing –</t>
        </is>
      </c>
      <c r="AK35" s="33" t="n"/>
      <c r="AL35" s="33" t="n"/>
    </row>
    <row r="36" ht="60" customHeight="1">
      <c r="A36" s="40" t="inlineStr"/>
      <c r="B36" s="40" t="inlineStr">
        <is>
          <t>S.No</t>
        </is>
      </c>
      <c r="C36" s="40" t="inlineStr">
        <is>
          <t>Description</t>
        </is>
      </c>
      <c r="D36" s="40" t="inlineStr">
        <is>
          <t>Unit</t>
        </is>
      </c>
      <c r="E36" s="40" t="inlineStr">
        <is>
          <t>Times</t>
        </is>
      </c>
      <c r="F36" s="40" t="inlineStr">
        <is>
          <t>L</t>
        </is>
      </c>
      <c r="G36" s="40" t="inlineStr">
        <is>
          <t>W</t>
        </is>
      </c>
      <c r="H36" s="40" t="inlineStr">
        <is>
          <t>H</t>
        </is>
      </c>
      <c r="I36" s="40" t="inlineStr">
        <is>
          <t>Total QTY</t>
        </is>
      </c>
      <c r="J36" s="40" t="inlineStr">
        <is>
          <t>6mm both
Melamine MR MDF Sheet</t>
        </is>
      </c>
      <c r="K36" s="40" t="inlineStr">
        <is>
          <t>9mm both Melamine
MR MDF Sheet</t>
        </is>
      </c>
      <c r="L36" s="40" t="inlineStr">
        <is>
          <t>12mm both Melamine
MR MDF Sheet</t>
        </is>
      </c>
      <c r="M36" s="40" t="inlineStr">
        <is>
          <t>18mm both Melamine
MR MDF Sheet</t>
        </is>
      </c>
      <c r="N36" s="40" t="inlineStr">
        <is>
          <t>18mm Plain
MR MDF Sheet</t>
        </is>
      </c>
      <c r="O36" s="40" t="inlineStr">
        <is>
          <t>Plywood</t>
        </is>
      </c>
      <c r="P36" s="40" t="inlineStr">
        <is>
          <t>25mm Plain MR MDF</t>
        </is>
      </c>
      <c r="Q36" s="40" t="inlineStr">
        <is>
          <t>PL-01
Laminate (0.8mm)</t>
        </is>
      </c>
      <c r="R36" s="40" t="inlineStr">
        <is>
          <t>Full overlay
Hinges</t>
        </is>
      </c>
      <c r="S36" s="40" t="inlineStr">
        <is>
          <t>Drawer Runner
(0.5m)</t>
        </is>
      </c>
      <c r="T36" s="40" t="inlineStr">
        <is>
          <t>PVC Lipping
Gray Melamine</t>
        </is>
      </c>
      <c r="U36" s="40" t="inlineStr">
        <is>
          <t>PVC Lipping
25mm</t>
        </is>
      </c>
      <c r="V36" s="40" t="inlineStr">
        <is>
          <t>PVC Lipping
18mm</t>
        </is>
      </c>
      <c r="W36" s="40" t="inlineStr">
        <is>
          <t>Aluminium
Skirting</t>
        </is>
      </c>
      <c r="X36" s="40" t="inlineStr">
        <is>
          <t>PVC Lipping
12mm</t>
        </is>
      </c>
      <c r="Y36" s="40" t="inlineStr">
        <is>
          <t>12mm MR MDF</t>
        </is>
      </c>
      <c r="Z36" s="40" t="inlineStr">
        <is>
          <t>Timber (M³)</t>
        </is>
      </c>
      <c r="AA36" s="40" t="inlineStr">
        <is>
          <t>Kitchen Mixer
Tap</t>
        </is>
      </c>
      <c r="AB36" s="40" t="inlineStr">
        <is>
          <t>Exhaust
Fan</t>
        </is>
      </c>
      <c r="AC36" s="40" t="inlineStr">
        <is>
          <t>Gas Hob
(4 Burner)</t>
        </is>
      </c>
      <c r="AD36" s="40" t="inlineStr">
        <is>
          <t>Built-in
Oven</t>
        </is>
      </c>
      <c r="AE36" s="40" t="inlineStr">
        <is>
          <t>Stainless
Steel Sink</t>
        </is>
      </c>
      <c r="AF36" s="40" t="inlineStr">
        <is>
          <t>Cabinet
Handle</t>
        </is>
      </c>
      <c r="AG36" s="41" t="n"/>
      <c r="AH36" s="41" t="n"/>
      <c r="AI36" s="41" t="n"/>
      <c r="AJ36" s="40" t="inlineStr">
        <is>
          <t>Remarks</t>
        </is>
      </c>
      <c r="AK36" s="33" t="n"/>
      <c r="AL36" s="33" t="n"/>
    </row>
    <row r="37" ht="28" customHeight="1">
      <c r="A37" s="42" t="n"/>
      <c r="B37" s="42" t="n"/>
      <c r="C37" s="43" t="inlineStr">
        <is>
          <t>Carcass</t>
        </is>
      </c>
      <c r="D37" s="42" t="n"/>
      <c r="E37" s="42" t="n"/>
      <c r="F37" s="44" t="n">
        <v>1.18</v>
      </c>
      <c r="G37" s="44" t="inlineStr"/>
      <c r="H37" s="44" t="n">
        <v>1.75</v>
      </c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33" t="n"/>
      <c r="AL37" s="33" t="n"/>
    </row>
    <row r="38" ht="16" customHeight="1">
      <c r="A38" s="45" t="n"/>
      <c r="B38" s="46" t="inlineStr">
        <is>
          <t>B1</t>
        </is>
      </c>
      <c r="C38" s="47" t="inlineStr">
        <is>
          <t>9mm MDF wall back panel</t>
        </is>
      </c>
      <c r="D38" s="46" t="inlineStr">
        <is>
          <t>M²</t>
        </is>
      </c>
      <c r="E38" s="46" t="n"/>
      <c r="F38" s="46" t="n">
        <v>1.18</v>
      </c>
      <c r="G38" s="46" t="n"/>
      <c r="H38" s="46" t="n">
        <v>1.75</v>
      </c>
      <c r="I38" s="48">
        <f>F38*H38</f>
        <v/>
      </c>
      <c r="J38" s="46" t="n"/>
      <c r="K38" s="49">
        <f>I38</f>
        <v/>
      </c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33" t="n"/>
      <c r="AH38" s="33" t="n"/>
      <c r="AI38" s="33" t="n"/>
      <c r="AJ38" s="50" t="inlineStr"/>
      <c r="AK38" s="33" t="n"/>
      <c r="AL38" s="33" t="n"/>
    </row>
    <row r="39" ht="16" customHeight="1">
      <c r="A39" s="51" t="n"/>
      <c r="B39" s="52" t="inlineStr">
        <is>
          <t>B2</t>
        </is>
      </c>
      <c r="C39" s="53" t="inlineStr">
        <is>
          <t>18mm MDF bottom panel</t>
        </is>
      </c>
      <c r="D39" s="52" t="inlineStr">
        <is>
          <t>M²</t>
        </is>
      </c>
      <c r="E39" s="52" t="n"/>
      <c r="F39" s="52" t="n">
        <v>1.18</v>
      </c>
      <c r="G39" s="52" t="n">
        <v>0.62</v>
      </c>
      <c r="H39" s="52" t="n"/>
      <c r="I39" s="54">
        <f>F39*G39</f>
        <v/>
      </c>
      <c r="J39" s="52" t="n"/>
      <c r="K39" s="52" t="n"/>
      <c r="L39" s="52" t="n"/>
      <c r="M39" s="49">
        <f>I39</f>
        <v/>
      </c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5" t="n"/>
      <c r="AH39" s="55" t="n"/>
      <c r="AI39" s="55" t="n"/>
      <c r="AJ39" s="56" t="inlineStr"/>
      <c r="AK39" s="33" t="n"/>
      <c r="AL39" s="33" t="n"/>
    </row>
    <row r="40" ht="16" customHeight="1">
      <c r="A40" s="45" t="n"/>
      <c r="B40" s="46" t="inlineStr">
        <is>
          <t>B3</t>
        </is>
      </c>
      <c r="C40" s="47" t="inlineStr">
        <is>
          <t>18mm MDF top panel</t>
        </is>
      </c>
      <c r="D40" s="46" t="inlineStr">
        <is>
          <t>M²</t>
        </is>
      </c>
      <c r="E40" s="46" t="n"/>
      <c r="F40" s="46" t="n">
        <v>1.18</v>
      </c>
      <c r="G40" s="46" t="n">
        <v>0.62</v>
      </c>
      <c r="H40" s="46" t="n"/>
      <c r="I40" s="48">
        <f>F40*G40</f>
        <v/>
      </c>
      <c r="J40" s="46" t="n"/>
      <c r="K40" s="46" t="n"/>
      <c r="L40" s="46" t="n"/>
      <c r="M40" s="49">
        <f>I40</f>
        <v/>
      </c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33" t="n"/>
      <c r="AH40" s="33" t="n"/>
      <c r="AI40" s="33" t="n"/>
      <c r="AJ40" s="50" t="inlineStr"/>
      <c r="AK40" s="33" t="n"/>
      <c r="AL40" s="33" t="n"/>
    </row>
    <row r="41" ht="16" customHeight="1">
      <c r="A41" s="51" t="n"/>
      <c r="B41" s="52" t="inlineStr">
        <is>
          <t>B4</t>
        </is>
      </c>
      <c r="C41" s="53" t="inlineStr">
        <is>
          <t>18mm MDF side panels</t>
        </is>
      </c>
      <c r="D41" s="52" t="inlineStr">
        <is>
          <t>M²</t>
        </is>
      </c>
      <c r="E41" s="52" t="n">
        <v>2</v>
      </c>
      <c r="F41" s="52" t="n"/>
      <c r="G41" s="52" t="n">
        <v>0.62</v>
      </c>
      <c r="H41" s="52" t="n">
        <v>1.75</v>
      </c>
      <c r="I41" s="54">
        <f>=G41*H41*E41</f>
        <v/>
      </c>
      <c r="J41" s="52" t="n"/>
      <c r="K41" s="52" t="n"/>
      <c r="L41" s="52" t="n"/>
      <c r="M41" s="49">
        <f>I41</f>
        <v/>
      </c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5" t="n"/>
      <c r="AH41" s="55" t="n"/>
      <c r="AI41" s="55" t="n"/>
      <c r="AJ41" s="56" t="inlineStr"/>
      <c r="AK41" s="33" t="n"/>
      <c r="AL41" s="33" t="n"/>
    </row>
    <row r="42" ht="16" customHeight="1">
      <c r="A42" s="45" t="n"/>
      <c r="B42" s="46" t="inlineStr">
        <is>
          <t>B5</t>
        </is>
      </c>
      <c r="C42" s="47" t="inlineStr">
        <is>
          <t>18mm MDF internal dividers</t>
        </is>
      </c>
      <c r="D42" s="46" t="inlineStr">
        <is>
          <t>M²</t>
        </is>
      </c>
      <c r="E42" s="46" t="n">
        <v>2</v>
      </c>
      <c r="F42" s="46" t="n"/>
      <c r="G42" s="46" t="n">
        <v>0.62</v>
      </c>
      <c r="H42" s="46" t="n">
        <v>1.75</v>
      </c>
      <c r="I42" s="48">
        <f>=G42*H42*E42</f>
        <v/>
      </c>
      <c r="J42" s="46" t="n"/>
      <c r="K42" s="46" t="n"/>
      <c r="L42" s="46" t="n"/>
      <c r="M42" s="49">
        <f>I42</f>
        <v/>
      </c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33" t="n"/>
      <c r="AH42" s="33" t="n"/>
      <c r="AI42" s="33" t="n"/>
      <c r="AJ42" s="50" t="inlineStr"/>
      <c r="AK42" s="33" t="n"/>
      <c r="AL42" s="33" t="n"/>
    </row>
    <row r="43" ht="16" customHeight="1">
      <c r="A43" s="51" t="n"/>
      <c r="B43" s="52" t="inlineStr">
        <is>
          <t>B6</t>
        </is>
      </c>
      <c r="C43" s="53" t="inlineStr">
        <is>
          <t>18mm MDF fixed shelves</t>
        </is>
      </c>
      <c r="D43" s="52" t="inlineStr">
        <is>
          <t>M²</t>
        </is>
      </c>
      <c r="E43" s="52" t="n">
        <v>4</v>
      </c>
      <c r="F43" s="52" t="n">
        <v>0.59</v>
      </c>
      <c r="G43" s="52" t="n">
        <v>0.62</v>
      </c>
      <c r="H43" s="52" t="n"/>
      <c r="I43" s="54">
        <f>=F43*G43*E43</f>
        <v/>
      </c>
      <c r="J43" s="52" t="n"/>
      <c r="K43" s="52" t="n"/>
      <c r="L43" s="52" t="n"/>
      <c r="M43" s="49">
        <f>I43</f>
        <v/>
      </c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5" t="n"/>
      <c r="AH43" s="55" t="n"/>
      <c r="AI43" s="55" t="n"/>
      <c r="AJ43" s="56" t="inlineStr"/>
      <c r="AK43" s="33" t="n"/>
      <c r="AL43" s="33" t="n"/>
    </row>
    <row r="44" ht="16" customHeight="1">
      <c r="A44" s="45" t="n"/>
      <c r="B44" s="46" t="inlineStr">
        <is>
          <t>B7</t>
        </is>
      </c>
      <c r="C44" s="47" t="inlineStr">
        <is>
          <t>PVC lipping to all exposed edges</t>
        </is>
      </c>
      <c r="D44" s="46" t="inlineStr">
        <is>
          <t>LM</t>
        </is>
      </c>
      <c r="E44" s="46" t="n"/>
      <c r="F44" s="46" t="n"/>
      <c r="G44" s="46" t="n"/>
      <c r="H44" s="46" t="n"/>
      <c r="I44" s="48" t="n">
        <v>25.02</v>
      </c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9" t="n">
        <v>25.02</v>
      </c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33" t="n"/>
      <c r="AH44" s="33" t="n"/>
      <c r="AI44" s="33" t="n"/>
      <c r="AJ44" s="50" t="inlineStr">
        <is>
          <t>Total per unit: 25.02 lm</t>
        </is>
      </c>
      <c r="AK44" s="33" t="n"/>
      <c r="AL44" s="33" t="n"/>
    </row>
    <row r="45" ht="28" customHeight="1">
      <c r="A45" s="42" t="n"/>
      <c r="B45" s="42" t="n"/>
      <c r="C45" s="43" t="inlineStr">
        <is>
          <t>Shutter</t>
        </is>
      </c>
      <c r="D45" s="42" t="n"/>
      <c r="E45" s="42" t="n"/>
      <c r="F45" s="44" t="n">
        <v>1.18</v>
      </c>
      <c r="G45" s="44" t="inlineStr"/>
      <c r="H45" s="44" t="n">
        <v>1.75</v>
      </c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33" t="n"/>
      <c r="AL45" s="33" t="n"/>
    </row>
    <row r="46" ht="16" customHeight="1">
      <c r="A46" s="45" t="n"/>
      <c r="B46" s="46" t="inlineStr">
        <is>
          <t>B8</t>
        </is>
      </c>
      <c r="C46" s="47" t="inlineStr">
        <is>
          <t>18mm MDF plain shutter panel</t>
        </is>
      </c>
      <c r="D46" s="46" t="inlineStr">
        <is>
          <t>M²</t>
        </is>
      </c>
      <c r="E46" s="46" t="n"/>
      <c r="F46" s="46" t="n">
        <v>1.18</v>
      </c>
      <c r="G46" s="46" t="n"/>
      <c r="H46" s="46" t="n">
        <v>1.75</v>
      </c>
      <c r="I46" s="48" t="n">
        <v>4.13</v>
      </c>
      <c r="J46" s="46" t="n"/>
      <c r="K46" s="46" t="n"/>
      <c r="L46" s="46" t="n"/>
      <c r="M46" s="46" t="n"/>
      <c r="N46" s="49" t="n">
        <v>1</v>
      </c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33" t="n"/>
      <c r="AH46" s="33" t="n"/>
      <c r="AI46" s="33" t="n"/>
      <c r="AJ46" s="50" t="inlineStr">
        <is>
          <t>2 shutter doors; laminate PL-01 both faces = 4.13 m²</t>
        </is>
      </c>
      <c r="AK46" s="33" t="n"/>
      <c r="AL46" s="33" t="n"/>
    </row>
    <row r="47" ht="16" customHeight="1">
      <c r="A47" s="51" t="n"/>
      <c r="B47" s="52" t="inlineStr">
        <is>
          <t>B9</t>
        </is>
      </c>
      <c r="C47" s="53" t="inlineStr">
        <is>
          <t>PVC lipping to shutter edges</t>
        </is>
      </c>
      <c r="D47" s="52" t="inlineStr">
        <is>
          <t>LM</t>
        </is>
      </c>
      <c r="E47" s="52" t="n"/>
      <c r="F47" s="52" t="n"/>
      <c r="G47" s="52" t="n"/>
      <c r="H47" s="52" t="n"/>
      <c r="I47" s="54" t="n">
        <v>9.359999999999999</v>
      </c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49" t="n">
        <v>9.359999999999999</v>
      </c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5" t="n"/>
      <c r="AH47" s="55" t="n"/>
      <c r="AI47" s="55" t="n"/>
      <c r="AJ47" s="56" t="inlineStr">
        <is>
          <t>Total per unit: 9.36 lm</t>
        </is>
      </c>
      <c r="AK47" s="33" t="n"/>
      <c r="AL47" s="33" t="n"/>
    </row>
    <row r="48" ht="28" customHeight="1">
      <c r="A48" s="42" t="n"/>
      <c r="B48" s="42" t="n"/>
      <c r="C48" s="43" t="inlineStr">
        <is>
          <t>Side Panel</t>
        </is>
      </c>
      <c r="D48" s="42" t="n"/>
      <c r="E48" s="42" t="n"/>
      <c r="F48" s="44" t="n">
        <v>0.35</v>
      </c>
      <c r="G48" s="44" t="inlineStr"/>
      <c r="H48" s="44" t="n">
        <v>2.7</v>
      </c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33" t="n"/>
      <c r="AL48" s="33" t="n"/>
    </row>
    <row r="49" ht="16" customHeight="1">
      <c r="A49" s="45" t="n"/>
      <c r="B49" s="46" t="inlineStr">
        <is>
          <t>B10</t>
        </is>
      </c>
      <c r="C49" s="47" t="inlineStr">
        <is>
          <t>25mm MDF exposed end panel</t>
        </is>
      </c>
      <c r="D49" s="46" t="inlineStr">
        <is>
          <t>M²</t>
        </is>
      </c>
      <c r="E49" s="46" t="n"/>
      <c r="F49" s="46" t="n">
        <v>0.35</v>
      </c>
      <c r="G49" s="46" t="n"/>
      <c r="H49" s="46" t="n">
        <v>2.7</v>
      </c>
      <c r="I49" s="48" t="n">
        <v>0.945</v>
      </c>
      <c r="J49" s="46" t="n"/>
      <c r="K49" s="46" t="n"/>
      <c r="L49" s="46" t="n"/>
      <c r="M49" s="46" t="n"/>
      <c r="N49" s="46" t="n"/>
      <c r="O49" s="46" t="n"/>
      <c r="P49" s="49" t="n">
        <v>1</v>
      </c>
      <c r="Q49" s="49" t="n">
        <v>0.945</v>
      </c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33" t="n"/>
      <c r="AH49" s="33" t="n"/>
      <c r="AI49" s="33" t="n"/>
      <c r="AJ49" s="50" t="inlineStr">
        <is>
          <t>25mm MDF = 0.945 m²; laminate coverage = 1.045 m²</t>
        </is>
      </c>
      <c r="AK49" s="33" t="n"/>
      <c r="AL49" s="33" t="n"/>
    </row>
    <row r="50" ht="16" customHeight="1">
      <c r="A50" s="51" t="n"/>
      <c r="B50" s="52" t="inlineStr">
        <is>
          <t>B11</t>
        </is>
      </c>
      <c r="C50" s="53" t="inlineStr">
        <is>
          <t>PVC lipping 25mm exposed edge</t>
        </is>
      </c>
      <c r="D50" s="52" t="inlineStr">
        <is>
          <t>LM</t>
        </is>
      </c>
      <c r="E50" s="52" t="n"/>
      <c r="F50" s="52" t="n"/>
      <c r="G50" s="52" t="n"/>
      <c r="H50" s="52" t="n"/>
      <c r="I50" s="54" t="n">
        <v>3.05</v>
      </c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49" t="n">
        <v>3.05</v>
      </c>
      <c r="U50" s="49" t="n">
        <v>3.05</v>
      </c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5" t="n"/>
      <c r="AH50" s="55" t="n"/>
      <c r="AI50" s="55" t="n"/>
      <c r="AJ50" s="56" t="inlineStr">
        <is>
          <t>Total per unit: 3.05 lm</t>
        </is>
      </c>
      <c r="AK50" s="33" t="n"/>
      <c r="AL50" s="33" t="n"/>
    </row>
    <row r="51" ht="28" customHeight="1">
      <c r="A51" s="42" t="n"/>
      <c r="B51" s="42" t="n"/>
      <c r="C51" s="43" t="inlineStr">
        <is>
          <t>Hardware</t>
        </is>
      </c>
      <c r="D51" s="42" t="n"/>
      <c r="E51" s="42" t="n"/>
      <c r="F51" s="44" t="inlineStr"/>
      <c r="G51" s="44" t="inlineStr"/>
      <c r="H51" s="44" t="inlineStr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33" t="n"/>
      <c r="AL51" s="33" t="n"/>
    </row>
    <row r="52" ht="16" customHeight="1">
      <c r="A52" s="45" t="n"/>
      <c r="B52" s="46" t="inlineStr">
        <is>
          <t>B12</t>
        </is>
      </c>
      <c r="C52" s="47" t="inlineStr">
        <is>
          <t>Ironmongery – Full overlay soft-close hinges</t>
        </is>
      </c>
      <c r="D52" s="46" t="inlineStr">
        <is>
          <t>Nr</t>
        </is>
      </c>
      <c r="E52" s="46" t="n">
        <v>4</v>
      </c>
      <c r="F52" s="46" t="n"/>
      <c r="G52" s="46" t="n"/>
      <c r="H52" s="46" t="n"/>
      <c r="I52" s="48">
        <f>E52</f>
        <v/>
      </c>
      <c r="J52" s="46" t="n"/>
      <c r="K52" s="46" t="n"/>
      <c r="L52" s="46" t="n"/>
      <c r="M52" s="46" t="n"/>
      <c r="N52" s="46" t="n"/>
      <c r="O52" s="46" t="n"/>
      <c r="P52" s="46" t="n"/>
      <c r="Q52" s="46" t="n"/>
      <c r="R52" s="49">
        <f>I52</f>
        <v/>
      </c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33" t="n"/>
      <c r="AH52" s="33" t="n"/>
      <c r="AI52" s="33" t="n"/>
      <c r="AJ52" s="50" t="inlineStr">
        <is>
          <t>4 hinges per unit</t>
        </is>
      </c>
      <c r="AK52" s="33" t="n"/>
      <c r="AL52" s="33" t="n"/>
    </row>
    <row r="53" ht="20" customHeight="1">
      <c r="I53" s="57" t="inlineStr">
        <is>
          <t>Per Unit</t>
        </is>
      </c>
      <c r="J53" s="58">
        <f>SUM(J37:J52)</f>
        <v/>
      </c>
      <c r="K53" s="58">
        <f>SUM(K37:K52)</f>
        <v/>
      </c>
      <c r="L53" s="58">
        <f>SUM(L37:L52)</f>
        <v/>
      </c>
      <c r="M53" s="58">
        <f>SUM(M37:M52)</f>
        <v/>
      </c>
      <c r="N53" s="58">
        <f>SUM(N37:N52)</f>
        <v/>
      </c>
      <c r="O53" s="58">
        <f>SUM(O37:O52)</f>
        <v/>
      </c>
      <c r="P53" s="58">
        <f>SUM(P37:P52)</f>
        <v/>
      </c>
      <c r="Q53" s="58">
        <f>SUM(Q37:Q52)</f>
        <v/>
      </c>
      <c r="R53" s="58">
        <f>SUM(R37:R52)</f>
        <v/>
      </c>
      <c r="S53" s="58">
        <f>SUM(S37:S52)</f>
        <v/>
      </c>
      <c r="T53" s="58">
        <f>SUM(T37:T52)</f>
        <v/>
      </c>
      <c r="U53" s="58">
        <f>SUM(U37:U52)</f>
        <v/>
      </c>
      <c r="V53" s="58">
        <f>SUM(V37:V52)</f>
        <v/>
      </c>
      <c r="W53" s="58">
        <f>SUM(W37:W52)</f>
        <v/>
      </c>
      <c r="X53" s="58">
        <f>SUM(X37:X52)</f>
        <v/>
      </c>
      <c r="Y53" s="58">
        <f>SUM(Y37:Y52)</f>
        <v/>
      </c>
      <c r="Z53" s="58">
        <f>SUM(Z37:Z52)</f>
        <v/>
      </c>
      <c r="AA53" s="58">
        <f>SUM(AA37:AA52)</f>
        <v/>
      </c>
      <c r="AB53" s="58">
        <f>SUM(AB37:AB52)</f>
        <v/>
      </c>
      <c r="AC53" s="58">
        <f>SUM(AC37:AC52)</f>
        <v/>
      </c>
      <c r="AD53" s="58">
        <f>SUM(AD37:AD52)</f>
        <v/>
      </c>
      <c r="AE53" s="58">
        <f>SUM(AE37:AE52)</f>
        <v/>
      </c>
      <c r="AF53" s="58">
        <f>SUM(AF37:AF52)</f>
        <v/>
      </c>
      <c r="AK53" s="33" t="n"/>
      <c r="AL53" s="33" t="n"/>
    </row>
    <row r="54" ht="22" customHeight="1">
      <c r="H54" s="59">
        <f>H2</f>
        <v/>
      </c>
      <c r="I54" s="60" t="inlineStr">
        <is>
          <t>Total Unit</t>
        </is>
      </c>
      <c r="J54" s="61">
        <f>J53*H2/2.88</f>
        <v/>
      </c>
      <c r="K54" s="61">
        <f>K53*H2/2.88</f>
        <v/>
      </c>
      <c r="L54" s="61">
        <f>L53*H2/2.88</f>
        <v/>
      </c>
      <c r="M54" s="61">
        <f>M53*H2/2.88</f>
        <v/>
      </c>
      <c r="N54" s="61">
        <f>N53*H2/2.88</f>
        <v/>
      </c>
      <c r="O54" s="61">
        <f>O53*H2/2.88</f>
        <v/>
      </c>
      <c r="P54" s="61">
        <f>P53*H2/2.88</f>
        <v/>
      </c>
      <c r="Q54" s="61">
        <f>Q53*H2/2.88</f>
        <v/>
      </c>
      <c r="R54" s="61">
        <f>R53*H2</f>
        <v/>
      </c>
      <c r="S54" s="61">
        <f>S53*H2</f>
        <v/>
      </c>
      <c r="T54" s="61">
        <f>T53*H2/2.88</f>
        <v/>
      </c>
      <c r="U54" s="61">
        <f>U53*H2/2.88</f>
        <v/>
      </c>
      <c r="V54" s="61">
        <f>V53*H2/2.88</f>
        <v/>
      </c>
      <c r="W54" s="61">
        <f>W53*H2/2.88</f>
        <v/>
      </c>
      <c r="X54" s="61">
        <f>X53*H2/2.88</f>
        <v/>
      </c>
      <c r="Y54" s="61">
        <f>Y53*H2/2.88</f>
        <v/>
      </c>
      <c r="Z54" s="61">
        <f>Z53*H2/2.88</f>
        <v/>
      </c>
      <c r="AA54" s="61">
        <f>AA53*H2</f>
        <v/>
      </c>
      <c r="AB54" s="61">
        <f>AB53*H2</f>
        <v/>
      </c>
      <c r="AC54" s="61">
        <f>AC53*H2</f>
        <v/>
      </c>
      <c r="AD54" s="61">
        <f>AD53*H2</f>
        <v/>
      </c>
      <c r="AE54" s="61">
        <f>AE53*H2</f>
        <v/>
      </c>
      <c r="AF54" s="61">
        <f>AF53*H2</f>
        <v/>
      </c>
      <c r="AK54" s="33" t="n"/>
      <c r="AL54" s="33" t="n"/>
    </row>
    <row r="55" ht="10" customHeight="1">
      <c r="AK55" s="33" t="n"/>
      <c r="AL55" s="33" t="n"/>
    </row>
    <row r="56" ht="32" customHeight="1">
      <c r="A56" s="36" t="n"/>
      <c r="B56" s="37" t="inlineStr">
        <is>
          <t xml:space="preserve">  ELV - E  </t>
        </is>
      </c>
      <c r="C56" s="38" t="inlineStr">
        <is>
          <t>BOTTOM UNIT</t>
        </is>
      </c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9" t="inlineStr">
        <is>
          <t>Unit overall dimensions: L 1.45m × W 0.63m × H 0.77m</t>
        </is>
      </c>
      <c r="AK56" s="33" t="n"/>
      <c r="AL56" s="33" t="n"/>
    </row>
    <row r="57" ht="60" customHeight="1">
      <c r="A57" s="40" t="inlineStr"/>
      <c r="B57" s="40" t="inlineStr">
        <is>
          <t>S.No</t>
        </is>
      </c>
      <c r="C57" s="40" t="inlineStr">
        <is>
          <t>Description</t>
        </is>
      </c>
      <c r="D57" s="40" t="inlineStr">
        <is>
          <t>Unit</t>
        </is>
      </c>
      <c r="E57" s="40" t="inlineStr">
        <is>
          <t>Times</t>
        </is>
      </c>
      <c r="F57" s="40" t="inlineStr">
        <is>
          <t>L</t>
        </is>
      </c>
      <c r="G57" s="40" t="inlineStr">
        <is>
          <t>W</t>
        </is>
      </c>
      <c r="H57" s="40" t="inlineStr">
        <is>
          <t>H</t>
        </is>
      </c>
      <c r="I57" s="40" t="inlineStr">
        <is>
          <t>Total QTY</t>
        </is>
      </c>
      <c r="J57" s="40" t="inlineStr">
        <is>
          <t>6mm both
Melamine MR MDF Sheet</t>
        </is>
      </c>
      <c r="K57" s="40" t="inlineStr">
        <is>
          <t>9mm both Melamine
MR MDF Sheet</t>
        </is>
      </c>
      <c r="L57" s="40" t="inlineStr">
        <is>
          <t>12mm both Melamine
MR MDF Sheet</t>
        </is>
      </c>
      <c r="M57" s="40" t="inlineStr">
        <is>
          <t>18mm both Melamine
MR MDF Sheet</t>
        </is>
      </c>
      <c r="N57" s="40" t="inlineStr">
        <is>
          <t>18mm Plain
MR MDF Sheet</t>
        </is>
      </c>
      <c r="O57" s="40" t="inlineStr">
        <is>
          <t>Plywood</t>
        </is>
      </c>
      <c r="P57" s="40" t="inlineStr">
        <is>
          <t>25mm Plain MR MDF</t>
        </is>
      </c>
      <c r="Q57" s="40" t="inlineStr">
        <is>
          <t>PL-01
Laminate (0.8mm)</t>
        </is>
      </c>
      <c r="R57" s="40" t="inlineStr">
        <is>
          <t>Full overlay
Hinges</t>
        </is>
      </c>
      <c r="S57" s="40" t="inlineStr">
        <is>
          <t>Drawer Runner
(0.5m)</t>
        </is>
      </c>
      <c r="T57" s="40" t="inlineStr">
        <is>
          <t>PVC Lipping
Gray Melamine</t>
        </is>
      </c>
      <c r="U57" s="40" t="inlineStr">
        <is>
          <t>PVC Lipping
25mm</t>
        </is>
      </c>
      <c r="V57" s="40" t="inlineStr">
        <is>
          <t>PVC Lipping
18mm</t>
        </is>
      </c>
      <c r="W57" s="40" t="inlineStr">
        <is>
          <t>Aluminium
Skirting</t>
        </is>
      </c>
      <c r="X57" s="40" t="inlineStr">
        <is>
          <t>PVC Lipping
12mm</t>
        </is>
      </c>
      <c r="Y57" s="40" t="inlineStr">
        <is>
          <t>12mm MR MDF</t>
        </is>
      </c>
      <c r="Z57" s="40" t="inlineStr">
        <is>
          <t>Timber (M³)</t>
        </is>
      </c>
      <c r="AA57" s="40" t="inlineStr">
        <is>
          <t>Kitchen Mixer
Tap</t>
        </is>
      </c>
      <c r="AB57" s="40" t="inlineStr">
        <is>
          <t>Exhaust
Fan</t>
        </is>
      </c>
      <c r="AC57" s="40" t="inlineStr">
        <is>
          <t>Gas Hob
(4 Burner)</t>
        </is>
      </c>
      <c r="AD57" s="40" t="inlineStr">
        <is>
          <t>Built-in
Oven</t>
        </is>
      </c>
      <c r="AE57" s="40" t="inlineStr">
        <is>
          <t>Stainless
Steel Sink</t>
        </is>
      </c>
      <c r="AF57" s="40" t="inlineStr">
        <is>
          <t>Cabinet
Handle</t>
        </is>
      </c>
      <c r="AG57" s="41" t="n"/>
      <c r="AH57" s="41" t="n"/>
      <c r="AI57" s="41" t="n"/>
      <c r="AJ57" s="40" t="inlineStr">
        <is>
          <t>Remarks</t>
        </is>
      </c>
      <c r="AK57" s="33" t="n"/>
      <c r="AL57" s="33" t="n"/>
    </row>
    <row r="58" ht="28" customHeight="1">
      <c r="A58" s="42" t="n"/>
      <c r="B58" s="42" t="n"/>
      <c r="C58" s="43" t="inlineStr">
        <is>
          <t>Carcass</t>
        </is>
      </c>
      <c r="D58" s="42" t="n"/>
      <c r="E58" s="42" t="n"/>
      <c r="F58" s="44" t="n">
        <v>1.45</v>
      </c>
      <c r="G58" s="44" t="inlineStr"/>
      <c r="H58" s="44" t="n">
        <v>0.77</v>
      </c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33" t="n"/>
      <c r="AL58" s="33" t="n"/>
    </row>
    <row r="59" ht="16" customHeight="1">
      <c r="A59" s="45" t="n"/>
      <c r="B59" s="46" t="inlineStr">
        <is>
          <t>C1</t>
        </is>
      </c>
      <c r="C59" s="47" t="inlineStr">
        <is>
          <t>9mm MDF wall back panel</t>
        </is>
      </c>
      <c r="D59" s="46" t="inlineStr">
        <is>
          <t>M²</t>
        </is>
      </c>
      <c r="E59" s="46" t="n"/>
      <c r="F59" s="46" t="n">
        <v>1.45</v>
      </c>
      <c r="G59" s="46" t="n"/>
      <c r="H59" s="46" t="n">
        <v>0.77</v>
      </c>
      <c r="I59" s="48">
        <f>F59*H59</f>
        <v/>
      </c>
      <c r="J59" s="46" t="n"/>
      <c r="K59" s="49">
        <f>I59</f>
        <v/>
      </c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33" t="n"/>
      <c r="AH59" s="33" t="n"/>
      <c r="AI59" s="33" t="n"/>
      <c r="AJ59" s="50" t="inlineStr"/>
      <c r="AK59" s="33" t="n"/>
      <c r="AL59" s="33" t="n"/>
    </row>
    <row r="60" ht="16" customHeight="1">
      <c r="A60" s="51" t="n"/>
      <c r="B60" s="52" t="inlineStr">
        <is>
          <t>C2</t>
        </is>
      </c>
      <c r="C60" s="53" t="inlineStr">
        <is>
          <t>18mm MDF bottom panel</t>
        </is>
      </c>
      <c r="D60" s="52" t="inlineStr">
        <is>
          <t>M²</t>
        </is>
      </c>
      <c r="E60" s="52" t="n"/>
      <c r="F60" s="52" t="n">
        <v>1.45</v>
      </c>
      <c r="G60" s="52" t="n">
        <v>0.63</v>
      </c>
      <c r="H60" s="52" t="n"/>
      <c r="I60" s="54">
        <f>F60*G60</f>
        <v/>
      </c>
      <c r="J60" s="52" t="n"/>
      <c r="K60" s="52" t="n"/>
      <c r="L60" s="52" t="n"/>
      <c r="M60" s="49">
        <f>I60</f>
        <v/>
      </c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5" t="n"/>
      <c r="AH60" s="55" t="n"/>
      <c r="AI60" s="55" t="n"/>
      <c r="AJ60" s="56" t="inlineStr"/>
      <c r="AK60" s="33" t="n"/>
      <c r="AL60" s="33" t="n"/>
    </row>
    <row r="61" ht="16" customHeight="1">
      <c r="A61" s="45" t="n"/>
      <c r="B61" s="46" t="inlineStr">
        <is>
          <t>C3</t>
        </is>
      </c>
      <c r="C61" s="47" t="inlineStr">
        <is>
          <t>18mm MDF top panel (open top)</t>
        </is>
      </c>
      <c r="D61" s="46" t="inlineStr">
        <is>
          <t>M²</t>
        </is>
      </c>
      <c r="E61" s="46" t="n">
        <v>0</v>
      </c>
      <c r="F61" s="46" t="n">
        <v>1.45</v>
      </c>
      <c r="G61" s="46" t="n">
        <v>0.63</v>
      </c>
      <c r="H61" s="46" t="n"/>
      <c r="I61" s="48">
        <f>F61*G61</f>
        <v/>
      </c>
      <c r="J61" s="46" t="n"/>
      <c r="K61" s="46" t="n"/>
      <c r="L61" s="46" t="n"/>
      <c r="M61" s="49">
        <f>I61</f>
        <v/>
      </c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33" t="n"/>
      <c r="AH61" s="33" t="n"/>
      <c r="AI61" s="33" t="n"/>
      <c r="AJ61" s="50" t="inlineStr">
        <is>
          <t>Open-top configuration; qty = 0</t>
        </is>
      </c>
      <c r="AK61" s="33" t="n"/>
      <c r="AL61" s="33" t="n"/>
    </row>
    <row r="62" ht="16" customHeight="1">
      <c r="A62" s="51" t="n"/>
      <c r="B62" s="52" t="inlineStr">
        <is>
          <t>C4</t>
        </is>
      </c>
      <c r="C62" s="53" t="inlineStr">
        <is>
          <t>18mm MDF side panels</t>
        </is>
      </c>
      <c r="D62" s="52" t="inlineStr">
        <is>
          <t>M²</t>
        </is>
      </c>
      <c r="E62" s="52" t="n">
        <v>2</v>
      </c>
      <c r="F62" s="52" t="n"/>
      <c r="G62" s="52" t="n">
        <v>0.63</v>
      </c>
      <c r="H62" s="52" t="n">
        <v>0.77</v>
      </c>
      <c r="I62" s="54">
        <f>=G62*H62*E62</f>
        <v/>
      </c>
      <c r="J62" s="52" t="n"/>
      <c r="K62" s="52" t="n"/>
      <c r="L62" s="52" t="n"/>
      <c r="M62" s="49">
        <f>I62</f>
        <v/>
      </c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5" t="n"/>
      <c r="AH62" s="55" t="n"/>
      <c r="AI62" s="55" t="n"/>
      <c r="AJ62" s="56" t="inlineStr"/>
      <c r="AK62" s="33" t="n"/>
      <c r="AL62" s="33" t="n"/>
    </row>
    <row r="63" ht="16" customHeight="1">
      <c r="A63" s="45" t="n"/>
      <c r="B63" s="46" t="inlineStr">
        <is>
          <t>C5</t>
        </is>
      </c>
      <c r="C63" s="47" t="inlineStr">
        <is>
          <t>18mm MDF internal dividers</t>
        </is>
      </c>
      <c r="D63" s="46" t="inlineStr">
        <is>
          <t>M²</t>
        </is>
      </c>
      <c r="E63" s="46" t="n">
        <v>3</v>
      </c>
      <c r="F63" s="46" t="n"/>
      <c r="G63" s="46" t="n">
        <v>0.63</v>
      </c>
      <c r="H63" s="46" t="n">
        <v>0.77</v>
      </c>
      <c r="I63" s="48">
        <f>=G63*H63*E63</f>
        <v/>
      </c>
      <c r="J63" s="46" t="n"/>
      <c r="K63" s="46" t="n"/>
      <c r="L63" s="46" t="n"/>
      <c r="M63" s="49">
        <f>I63</f>
        <v/>
      </c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33" t="n"/>
      <c r="AH63" s="33" t="n"/>
      <c r="AI63" s="33" t="n"/>
      <c r="AJ63" s="50" t="inlineStr"/>
      <c r="AK63" s="33" t="n"/>
      <c r="AL63" s="33" t="n"/>
    </row>
    <row r="64" ht="16" customHeight="1">
      <c r="A64" s="51" t="n"/>
      <c r="B64" s="52" t="inlineStr">
        <is>
          <t>C6</t>
        </is>
      </c>
      <c r="C64" s="53" t="inlineStr">
        <is>
          <t>18mm MDF fixed shelves (nil)</t>
        </is>
      </c>
      <c r="D64" s="52" t="inlineStr">
        <is>
          <t>M²</t>
        </is>
      </c>
      <c r="E64" s="52" t="n">
        <v>0</v>
      </c>
      <c r="F64" s="52" t="n">
        <v>1.45</v>
      </c>
      <c r="G64" s="52" t="n">
        <v>0.63</v>
      </c>
      <c r="H64" s="52" t="n"/>
      <c r="I64" s="54">
        <f>F64*G64</f>
        <v/>
      </c>
      <c r="J64" s="52" t="n"/>
      <c r="K64" s="52" t="n"/>
      <c r="L64" s="52" t="n"/>
      <c r="M64" s="49">
        <f>I64</f>
        <v/>
      </c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5" t="n"/>
      <c r="AH64" s="55" t="n"/>
      <c r="AI64" s="55" t="n"/>
      <c r="AJ64" s="56" t="inlineStr">
        <is>
          <t>No fixed shelves in base unit</t>
        </is>
      </c>
      <c r="AK64" s="33" t="n"/>
      <c r="AL64" s="33" t="n"/>
    </row>
    <row r="65" ht="16" customHeight="1">
      <c r="A65" s="45" t="n"/>
      <c r="B65" s="46" t="inlineStr">
        <is>
          <t>C7</t>
        </is>
      </c>
      <c r="C65" s="47" t="inlineStr">
        <is>
          <t>PVC lipping to all exposed edges</t>
        </is>
      </c>
      <c r="D65" s="46" t="inlineStr">
        <is>
          <t>LM</t>
        </is>
      </c>
      <c r="E65" s="46" t="n"/>
      <c r="F65" s="46" t="n"/>
      <c r="G65" s="46" t="n"/>
      <c r="H65" s="46" t="n"/>
      <c r="I65" s="48" t="n">
        <v>10.81</v>
      </c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9" t="n">
        <v>10.81</v>
      </c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33" t="n"/>
      <c r="AH65" s="33" t="n"/>
      <c r="AI65" s="33" t="n"/>
      <c r="AJ65" s="50" t="inlineStr">
        <is>
          <t>Total per unit: 10.81 lm</t>
        </is>
      </c>
      <c r="AK65" s="33" t="n"/>
      <c r="AL65" s="33" t="n"/>
    </row>
    <row r="66" ht="28" customHeight="1">
      <c r="A66" s="42" t="n"/>
      <c r="B66" s="42" t="n"/>
      <c r="C66" s="43" t="inlineStr">
        <is>
          <t>Drawer</t>
        </is>
      </c>
      <c r="D66" s="42" t="n"/>
      <c r="E66" s="42" t="n"/>
      <c r="F66" s="44" t="n">
        <v>0.54</v>
      </c>
      <c r="G66" s="44" t="inlineStr"/>
      <c r="H66" s="44" t="n">
        <v>0.14</v>
      </c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33" t="n"/>
      <c r="AL66" s="33" t="n"/>
    </row>
    <row r="67" ht="16" customHeight="1">
      <c r="A67" s="45" t="n"/>
      <c r="B67" s="46" t="inlineStr">
        <is>
          <t>C8</t>
        </is>
      </c>
      <c r="C67" s="47" t="inlineStr">
        <is>
          <t>Drawer unit – 18mm MDF drawer front</t>
        </is>
      </c>
      <c r="D67" s="46" t="inlineStr">
        <is>
          <t>M²</t>
        </is>
      </c>
      <c r="E67" s="46" t="n"/>
      <c r="F67" s="46" t="n">
        <v>0.54</v>
      </c>
      <c r="G67" s="46" t="n"/>
      <c r="H67" s="46" t="n">
        <v>0.14</v>
      </c>
      <c r="I67" s="48">
        <f>F67*H67</f>
        <v/>
      </c>
      <c r="J67" s="46" t="n"/>
      <c r="K67" s="46" t="n"/>
      <c r="L67" s="46" t="n"/>
      <c r="M67" s="49">
        <f>I67</f>
        <v/>
      </c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33" t="n"/>
      <c r="AH67" s="33" t="n"/>
      <c r="AI67" s="33" t="n"/>
      <c r="AJ67" s="50" t="inlineStr"/>
      <c r="AK67" s="33" t="n"/>
      <c r="AL67" s="33" t="n"/>
    </row>
    <row r="68" ht="16" customHeight="1">
      <c r="A68" s="51" t="n"/>
      <c r="B68" s="52" t="inlineStr">
        <is>
          <t>C9</t>
        </is>
      </c>
      <c r="C68" s="53" t="inlineStr">
        <is>
          <t>Drawer unit – 12mm MDF drawer sides</t>
        </is>
      </c>
      <c r="D68" s="52" t="inlineStr">
        <is>
          <t>M²</t>
        </is>
      </c>
      <c r="E68" s="52" t="n">
        <v>4</v>
      </c>
      <c r="F68" s="52" t="n">
        <v>0.54</v>
      </c>
      <c r="G68" s="52" t="n"/>
      <c r="H68" s="52" t="n">
        <v>0.14</v>
      </c>
      <c r="I68" s="54">
        <f>=F68*H68*E68</f>
        <v/>
      </c>
      <c r="J68" s="52" t="n"/>
      <c r="K68" s="52" t="n"/>
      <c r="L68" s="49">
        <f>I68</f>
        <v/>
      </c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/>
      <c r="AH68" s="55" t="n"/>
      <c r="AI68" s="55" t="n"/>
      <c r="AJ68" s="56" t="inlineStr"/>
      <c r="AK68" s="33" t="n"/>
      <c r="AL68" s="33" t="n"/>
    </row>
    <row r="69" ht="16" customHeight="1">
      <c r="A69" s="45" t="n"/>
      <c r="B69" s="46" t="inlineStr">
        <is>
          <t>C10</t>
        </is>
      </c>
      <c r="C69" s="47" t="inlineStr">
        <is>
          <t>Drawer unit – 6mm MDF drawer bottom</t>
        </is>
      </c>
      <c r="D69" s="46" t="inlineStr">
        <is>
          <t>M²</t>
        </is>
      </c>
      <c r="E69" s="46" t="n"/>
      <c r="F69" s="46" t="n">
        <v>0.54</v>
      </c>
      <c r="G69" s="46" t="n">
        <v>0.5</v>
      </c>
      <c r="H69" s="46" t="n"/>
      <c r="I69" s="48">
        <f>F69*G69</f>
        <v/>
      </c>
      <c r="J69" s="49">
        <f>I69</f>
        <v/>
      </c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33" t="n"/>
      <c r="AH69" s="33" t="n"/>
      <c r="AI69" s="33" t="n"/>
      <c r="AJ69" s="50" t="inlineStr"/>
      <c r="AK69" s="33" t="n"/>
      <c r="AL69" s="33" t="n"/>
    </row>
    <row r="70" ht="16" customHeight="1">
      <c r="A70" s="51" t="n"/>
      <c r="B70" s="52" t="inlineStr">
        <is>
          <t>C11</t>
        </is>
      </c>
      <c r="C70" s="53" t="inlineStr">
        <is>
          <t>Drawer unit – PVC lipping 18mm drawer front edges</t>
        </is>
      </c>
      <c r="D70" s="52" t="inlineStr">
        <is>
          <t>LM</t>
        </is>
      </c>
      <c r="E70" s="52" t="n"/>
      <c r="F70" s="52" t="n"/>
      <c r="G70" s="52" t="n"/>
      <c r="H70" s="52" t="n"/>
      <c r="I70" s="54" t="n">
        <v>1.36</v>
      </c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49" t="n">
        <v>1.36</v>
      </c>
      <c r="U70" s="52" t="n"/>
      <c r="V70" s="49" t="n">
        <v>1.36</v>
      </c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5" t="n"/>
      <c r="AH70" s="55" t="n"/>
      <c r="AI70" s="55" t="n"/>
      <c r="AJ70" s="56" t="inlineStr">
        <is>
          <t>Total per unit: 1.36 lm</t>
        </is>
      </c>
      <c r="AK70" s="33" t="n"/>
      <c r="AL70" s="33" t="n"/>
    </row>
    <row r="71" ht="16" customHeight="1">
      <c r="A71" s="45" t="n"/>
      <c r="B71" s="46" t="inlineStr">
        <is>
          <t>C12</t>
        </is>
      </c>
      <c r="C71" s="47" t="inlineStr">
        <is>
          <t>Drawer unit – PVC lipping 12mm drawer box edges</t>
        </is>
      </c>
      <c r="D71" s="46" t="inlineStr">
        <is>
          <t>LM</t>
        </is>
      </c>
      <c r="E71" s="46" t="n"/>
      <c r="F71" s="46" t="n"/>
      <c r="G71" s="46" t="n"/>
      <c r="H71" s="46" t="n"/>
      <c r="I71" s="48" t="n">
        <v>2.08</v>
      </c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9" t="n">
        <v>2.08</v>
      </c>
      <c r="U71" s="46" t="n"/>
      <c r="V71" s="46" t="n"/>
      <c r="W71" s="46" t="n"/>
      <c r="X71" s="49" t="n">
        <v>2.08</v>
      </c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33" t="n"/>
      <c r="AH71" s="33" t="n"/>
      <c r="AI71" s="33" t="n"/>
      <c r="AJ71" s="50" t="inlineStr">
        <is>
          <t>Total per unit: 2.08 lm</t>
        </is>
      </c>
      <c r="AK71" s="33" t="n"/>
      <c r="AL71" s="33" t="n"/>
    </row>
    <row r="72" ht="28" customHeight="1">
      <c r="A72" s="42" t="n"/>
      <c r="B72" s="42" t="n"/>
      <c r="C72" s="43" t="inlineStr">
        <is>
          <t>Shutter</t>
        </is>
      </c>
      <c r="D72" s="42" t="n"/>
      <c r="E72" s="42" t="n"/>
      <c r="F72" s="44" t="n">
        <v>1.45</v>
      </c>
      <c r="G72" s="44" t="inlineStr"/>
      <c r="H72" s="44" t="n">
        <v>0.77</v>
      </c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33" t="n"/>
      <c r="AL72" s="33" t="n"/>
    </row>
    <row r="73" ht="16" customHeight="1">
      <c r="A73" s="45" t="n"/>
      <c r="B73" s="46" t="inlineStr">
        <is>
          <t>C13</t>
        </is>
      </c>
      <c r="C73" s="47" t="inlineStr">
        <is>
          <t>18mm MDF plain shutter panel</t>
        </is>
      </c>
      <c r="D73" s="46" t="inlineStr">
        <is>
          <t>M²</t>
        </is>
      </c>
      <c r="E73" s="46" t="n"/>
      <c r="F73" s="46" t="n">
        <v>1.45</v>
      </c>
      <c r="G73" s="46" t="n"/>
      <c r="H73" s="46" t="n">
        <v>0.77</v>
      </c>
      <c r="I73" s="48" t="n">
        <v>2.233</v>
      </c>
      <c r="J73" s="46" t="n"/>
      <c r="K73" s="46" t="n"/>
      <c r="L73" s="46" t="n"/>
      <c r="M73" s="46" t="n"/>
      <c r="N73" s="49" t="n">
        <v>1</v>
      </c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33" t="n"/>
      <c r="AH73" s="33" t="n"/>
      <c r="AI73" s="33" t="n"/>
      <c r="AJ73" s="50" t="inlineStr">
        <is>
          <t>Laminate PL-01 both faces = 2.233 m²</t>
        </is>
      </c>
      <c r="AK73" s="33" t="n"/>
      <c r="AL73" s="33" t="n"/>
    </row>
    <row r="74" ht="16" customHeight="1">
      <c r="A74" s="51" t="n"/>
      <c r="B74" s="52" t="inlineStr">
        <is>
          <t>C14</t>
        </is>
      </c>
      <c r="C74" s="53" t="inlineStr">
        <is>
          <t>PVC lipping to shutter edges</t>
        </is>
      </c>
      <c r="D74" s="52" t="inlineStr">
        <is>
          <t>LM</t>
        </is>
      </c>
      <c r="E74" s="52" t="n"/>
      <c r="F74" s="52" t="n"/>
      <c r="G74" s="52" t="n"/>
      <c r="H74" s="52" t="n"/>
      <c r="I74" s="54" t="n">
        <v>4.44</v>
      </c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49" t="n">
        <v>4.44</v>
      </c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5" t="n"/>
      <c r="AH74" s="55" t="n"/>
      <c r="AI74" s="55" t="n"/>
      <c r="AJ74" s="56" t="inlineStr">
        <is>
          <t>Total per unit: 4.44 lm</t>
        </is>
      </c>
      <c r="AK74" s="33" t="n"/>
      <c r="AL74" s="33" t="n"/>
    </row>
    <row r="75" ht="16" customHeight="1">
      <c r="A75" s="45" t="n"/>
      <c r="B75" s="46" t="inlineStr">
        <is>
          <t>C15</t>
        </is>
      </c>
      <c r="C75" s="47" t="inlineStr">
        <is>
          <t>Counter substrate – plywood base to countertop</t>
        </is>
      </c>
      <c r="D75" s="46" t="inlineStr">
        <is>
          <t>M²</t>
        </is>
      </c>
      <c r="E75" s="46" t="n"/>
      <c r="F75" s="46" t="n">
        <v>1.45</v>
      </c>
      <c r="G75" s="46" t="n">
        <v>0.63</v>
      </c>
      <c r="H75" s="46" t="n"/>
      <c r="I75" s="48">
        <f>F75*G75</f>
        <v/>
      </c>
      <c r="J75" s="46" t="n"/>
      <c r="K75" s="46" t="n"/>
      <c r="L75" s="46" t="n"/>
      <c r="M75" s="46" t="n"/>
      <c r="N75" s="46" t="n"/>
      <c r="O75" s="49">
        <f>I75</f>
        <v/>
      </c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33" t="n"/>
      <c r="AH75" s="33" t="n"/>
      <c r="AI75" s="33" t="n"/>
      <c r="AJ75" s="50" t="inlineStr"/>
      <c r="AK75" s="33" t="n"/>
      <c r="AL75" s="33" t="n"/>
    </row>
    <row r="76" ht="28" customHeight="1">
      <c r="A76" s="42" t="n"/>
      <c r="B76" s="42" t="n"/>
      <c r="C76" s="43" t="inlineStr">
        <is>
          <t>Hardware</t>
        </is>
      </c>
      <c r="D76" s="42" t="n"/>
      <c r="E76" s="42" t="n"/>
      <c r="F76" s="44" t="inlineStr"/>
      <c r="G76" s="44" t="inlineStr"/>
      <c r="H76" s="44" t="inlineStr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33" t="n"/>
      <c r="AL76" s="33" t="n"/>
    </row>
    <row r="77" ht="16" customHeight="1">
      <c r="A77" s="45" t="n"/>
      <c r="B77" s="46" t="inlineStr">
        <is>
          <t>C16</t>
        </is>
      </c>
      <c r="C77" s="47" t="inlineStr">
        <is>
          <t>Ironmongery – Full overlay soft-close hinges</t>
        </is>
      </c>
      <c r="D77" s="46" t="inlineStr">
        <is>
          <t>Nr</t>
        </is>
      </c>
      <c r="E77" s="46" t="n">
        <v>2</v>
      </c>
      <c r="F77" s="46" t="n"/>
      <c r="G77" s="46" t="n"/>
      <c r="H77" s="46" t="n"/>
      <c r="I77" s="48">
        <f>E77</f>
        <v/>
      </c>
      <c r="J77" s="46" t="n"/>
      <c r="K77" s="46" t="n"/>
      <c r="L77" s="46" t="n"/>
      <c r="M77" s="46" t="n"/>
      <c r="N77" s="46" t="n"/>
      <c r="O77" s="46" t="n"/>
      <c r="P77" s="46" t="n"/>
      <c r="Q77" s="46" t="n"/>
      <c r="R77" s="49">
        <f>I77</f>
        <v/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33" t="n"/>
      <c r="AH77" s="33" t="n"/>
      <c r="AI77" s="33" t="n"/>
      <c r="AJ77" s="50" t="inlineStr"/>
      <c r="AK77" s="33" t="n"/>
      <c r="AL77" s="33" t="n"/>
    </row>
    <row r="78" ht="28" customHeight="1">
      <c r="A78" s="42" t="n"/>
      <c r="B78" s="42" t="n"/>
      <c r="C78" s="43" t="inlineStr">
        <is>
          <t>Drawer</t>
        </is>
      </c>
      <c r="D78" s="42" t="n"/>
      <c r="E78" s="42" t="n"/>
      <c r="F78" s="44" t="inlineStr"/>
      <c r="G78" s="44" t="inlineStr"/>
      <c r="H78" s="44" t="inlineStr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33" t="n"/>
      <c r="AL78" s="33" t="n"/>
    </row>
    <row r="79" ht="16" customHeight="1">
      <c r="A79" s="45" t="n"/>
      <c r="B79" s="46" t="inlineStr">
        <is>
          <t>C17</t>
        </is>
      </c>
      <c r="C79" s="47" t="inlineStr">
        <is>
          <t>Ironmongery – Soft-close full-extension drawer runners</t>
        </is>
      </c>
      <c r="D79" s="46" t="inlineStr">
        <is>
          <t>Pr</t>
        </is>
      </c>
      <c r="E79" s="46" t="n">
        <v>2</v>
      </c>
      <c r="F79" s="46" t="n"/>
      <c r="G79" s="46" t="n"/>
      <c r="H79" s="46" t="n"/>
      <c r="I79" s="48">
        <f>E79</f>
        <v/>
      </c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9">
        <f>I79</f>
        <v/>
      </c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33" t="n"/>
      <c r="AH79" s="33" t="n"/>
      <c r="AI79" s="33" t="n"/>
      <c r="AJ79" s="50" t="inlineStr"/>
      <c r="AK79" s="33" t="n"/>
      <c r="AL79" s="33" t="n"/>
    </row>
    <row r="80" ht="16" customHeight="1">
      <c r="A80" s="51" t="n"/>
      <c r="B80" s="52" t="inlineStr">
        <is>
          <t>C18</t>
        </is>
      </c>
      <c r="C80" s="53" t="inlineStr">
        <is>
          <t>Skirting – aluminium skirting to base of unit</t>
        </is>
      </c>
      <c r="D80" s="52" t="inlineStr">
        <is>
          <t>LM</t>
        </is>
      </c>
      <c r="E80" s="52" t="n"/>
      <c r="F80" s="52" t="n"/>
      <c r="G80" s="52" t="n"/>
      <c r="H80" s="52" t="n"/>
      <c r="I80" s="54" t="n">
        <v>1.45</v>
      </c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49" t="n">
        <v>1.45</v>
      </c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5" t="n"/>
      <c r="AH80" s="55" t="n"/>
      <c r="AI80" s="55" t="n"/>
      <c r="AJ80" s="56" t="inlineStr">
        <is>
          <t>Total per unit: 1.45 lm</t>
        </is>
      </c>
      <c r="AK80" s="33" t="n"/>
      <c r="AL80" s="33" t="n"/>
    </row>
    <row r="81" ht="20" customHeight="1">
      <c r="I81" s="57" t="inlineStr">
        <is>
          <t>Per Unit</t>
        </is>
      </c>
      <c r="J81" s="58">
        <f>SUM(J58:J80)</f>
        <v/>
      </c>
      <c r="K81" s="58">
        <f>SUM(K58:K80)</f>
        <v/>
      </c>
      <c r="L81" s="58">
        <f>SUM(L58:L80)</f>
        <v/>
      </c>
      <c r="M81" s="58">
        <f>SUM(M58:M80)</f>
        <v/>
      </c>
      <c r="N81" s="58">
        <f>SUM(N58:N80)</f>
        <v/>
      </c>
      <c r="O81" s="58">
        <f>SUM(O58:O80)</f>
        <v/>
      </c>
      <c r="P81" s="58">
        <f>SUM(P58:P80)</f>
        <v/>
      </c>
      <c r="Q81" s="58">
        <f>SUM(Q58:Q80)</f>
        <v/>
      </c>
      <c r="R81" s="58">
        <f>SUM(R58:R80)</f>
        <v/>
      </c>
      <c r="S81" s="58">
        <f>SUM(S58:S80)</f>
        <v/>
      </c>
      <c r="T81" s="58">
        <f>SUM(T58:T80)</f>
        <v/>
      </c>
      <c r="U81" s="58">
        <f>SUM(U58:U80)</f>
        <v/>
      </c>
      <c r="V81" s="58">
        <f>SUM(V58:V80)</f>
        <v/>
      </c>
      <c r="W81" s="58">
        <f>SUM(W58:W80)</f>
        <v/>
      </c>
      <c r="X81" s="58">
        <f>SUM(X58:X80)</f>
        <v/>
      </c>
      <c r="Y81" s="58">
        <f>SUM(Y58:Y80)</f>
        <v/>
      </c>
      <c r="Z81" s="58">
        <f>SUM(Z58:Z80)</f>
        <v/>
      </c>
      <c r="AA81" s="58">
        <f>SUM(AA58:AA80)</f>
        <v/>
      </c>
      <c r="AB81" s="58">
        <f>SUM(AB58:AB80)</f>
        <v/>
      </c>
      <c r="AC81" s="58">
        <f>SUM(AC58:AC80)</f>
        <v/>
      </c>
      <c r="AD81" s="58">
        <f>SUM(AD58:AD80)</f>
        <v/>
      </c>
      <c r="AE81" s="58">
        <f>SUM(AE58:AE80)</f>
        <v/>
      </c>
      <c r="AF81" s="58">
        <f>SUM(AF58:AF80)</f>
        <v/>
      </c>
      <c r="AK81" s="33" t="n"/>
      <c r="AL81" s="33" t="n"/>
    </row>
    <row r="82" ht="22" customHeight="1">
      <c r="H82" s="59">
        <f>H2</f>
        <v/>
      </c>
      <c r="I82" s="60" t="inlineStr">
        <is>
          <t>Total Unit</t>
        </is>
      </c>
      <c r="J82" s="61">
        <f>J81*H2/2.88</f>
        <v/>
      </c>
      <c r="K82" s="61">
        <f>K81*H2/2.88</f>
        <v/>
      </c>
      <c r="L82" s="61">
        <f>L81*H2/2.88</f>
        <v/>
      </c>
      <c r="M82" s="61">
        <f>M81*H2/2.88</f>
        <v/>
      </c>
      <c r="N82" s="61">
        <f>N81*H2/2.88</f>
        <v/>
      </c>
      <c r="O82" s="61">
        <f>O81*H2/2.88</f>
        <v/>
      </c>
      <c r="P82" s="61">
        <f>P81*H2/2.88</f>
        <v/>
      </c>
      <c r="Q82" s="61">
        <f>Q81*H2/2.88</f>
        <v/>
      </c>
      <c r="R82" s="61">
        <f>R81*H2</f>
        <v/>
      </c>
      <c r="S82" s="61">
        <f>S81*H2</f>
        <v/>
      </c>
      <c r="T82" s="61">
        <f>T81*H2/2.88</f>
        <v/>
      </c>
      <c r="U82" s="61">
        <f>U81*H2/2.88</f>
        <v/>
      </c>
      <c r="V82" s="61">
        <f>V81*H2/2.88</f>
        <v/>
      </c>
      <c r="W82" s="61">
        <f>W81*H2/2.88</f>
        <v/>
      </c>
      <c r="X82" s="61">
        <f>X81*H2/2.88</f>
        <v/>
      </c>
      <c r="Y82" s="61">
        <f>Y81*H2/2.88</f>
        <v/>
      </c>
      <c r="Z82" s="61">
        <f>Z81*H2/2.88</f>
        <v/>
      </c>
      <c r="AA82" s="61">
        <f>AA81*H2</f>
        <v/>
      </c>
      <c r="AB82" s="61">
        <f>AB81*H2</f>
        <v/>
      </c>
      <c r="AC82" s="61">
        <f>AC81*H2</f>
        <v/>
      </c>
      <c r="AD82" s="61">
        <f>AD81*H2</f>
        <v/>
      </c>
      <c r="AE82" s="61">
        <f>AE81*H2</f>
        <v/>
      </c>
      <c r="AF82" s="61">
        <f>AF81*H2</f>
        <v/>
      </c>
      <c r="AK82" s="33" t="n"/>
      <c r="AL82" s="33" t="n"/>
    </row>
    <row r="83" ht="10" customHeight="1">
      <c r="AK83" s="33" t="n"/>
      <c r="AL83" s="33" t="n"/>
    </row>
    <row r="84" ht="32" customHeight="1">
      <c r="A84" s="36" t="n"/>
      <c r="B84" s="37" t="inlineStr">
        <is>
          <t xml:space="preserve">  ELV - F  </t>
        </is>
      </c>
      <c r="C84" s="38" t="inlineStr">
        <is>
          <t>BOTTOM UNIT</t>
        </is>
      </c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9" t="inlineStr">
        <is>
          <t>Unit overall dimensions: L 1.18m × W 0.62m × H 0.76m</t>
        </is>
      </c>
      <c r="AK84" s="33" t="n"/>
      <c r="AL84" s="33" t="n"/>
    </row>
    <row r="85" ht="60" customHeight="1">
      <c r="A85" s="40" t="inlineStr"/>
      <c r="B85" s="40" t="inlineStr">
        <is>
          <t>S.No</t>
        </is>
      </c>
      <c r="C85" s="40" t="inlineStr">
        <is>
          <t>Description</t>
        </is>
      </c>
      <c r="D85" s="40" t="inlineStr">
        <is>
          <t>Unit</t>
        </is>
      </c>
      <c r="E85" s="40" t="inlineStr">
        <is>
          <t>Times</t>
        </is>
      </c>
      <c r="F85" s="40" t="inlineStr">
        <is>
          <t>L</t>
        </is>
      </c>
      <c r="G85" s="40" t="inlineStr">
        <is>
          <t>W</t>
        </is>
      </c>
      <c r="H85" s="40" t="inlineStr">
        <is>
          <t>H</t>
        </is>
      </c>
      <c r="I85" s="40" t="inlineStr">
        <is>
          <t>Total QTY</t>
        </is>
      </c>
      <c r="J85" s="40" t="inlineStr">
        <is>
          <t>6mm both
Melamine MR MDF Sheet</t>
        </is>
      </c>
      <c r="K85" s="40" t="inlineStr">
        <is>
          <t>9mm both Melamine
MR MDF Sheet</t>
        </is>
      </c>
      <c r="L85" s="40" t="inlineStr">
        <is>
          <t>12mm both Melamine
MR MDF Sheet</t>
        </is>
      </c>
      <c r="M85" s="40" t="inlineStr">
        <is>
          <t>18mm both Melamine
MR MDF Sheet</t>
        </is>
      </c>
      <c r="N85" s="40" t="inlineStr">
        <is>
          <t>18mm Plain
MR MDF Sheet</t>
        </is>
      </c>
      <c r="O85" s="40" t="inlineStr">
        <is>
          <t>Plywood</t>
        </is>
      </c>
      <c r="P85" s="40" t="inlineStr">
        <is>
          <t>25mm Plain MR MDF</t>
        </is>
      </c>
      <c r="Q85" s="40" t="inlineStr">
        <is>
          <t>PL-01
Laminate (0.8mm)</t>
        </is>
      </c>
      <c r="R85" s="40" t="inlineStr">
        <is>
          <t>Full overlay
Hinges</t>
        </is>
      </c>
      <c r="S85" s="40" t="inlineStr">
        <is>
          <t>Drawer Runner
(0.5m)</t>
        </is>
      </c>
      <c r="T85" s="40" t="inlineStr">
        <is>
          <t>PVC Lipping
Gray Melamine</t>
        </is>
      </c>
      <c r="U85" s="40" t="inlineStr">
        <is>
          <t>PVC Lipping
25mm</t>
        </is>
      </c>
      <c r="V85" s="40" t="inlineStr">
        <is>
          <t>PVC Lipping
18mm</t>
        </is>
      </c>
      <c r="W85" s="40" t="inlineStr">
        <is>
          <t>Aluminium
Skirting</t>
        </is>
      </c>
      <c r="X85" s="40" t="inlineStr">
        <is>
          <t>PVC Lipping
12mm</t>
        </is>
      </c>
      <c r="Y85" s="40" t="inlineStr">
        <is>
          <t>12mm MR MDF</t>
        </is>
      </c>
      <c r="Z85" s="40" t="inlineStr">
        <is>
          <t>Timber (M³)</t>
        </is>
      </c>
      <c r="AA85" s="40" t="inlineStr">
        <is>
          <t>Kitchen Mixer
Tap</t>
        </is>
      </c>
      <c r="AB85" s="40" t="inlineStr">
        <is>
          <t>Exhaust
Fan</t>
        </is>
      </c>
      <c r="AC85" s="40" t="inlineStr">
        <is>
          <t>Gas Hob
(4 Burner)</t>
        </is>
      </c>
      <c r="AD85" s="40" t="inlineStr">
        <is>
          <t>Built-in
Oven</t>
        </is>
      </c>
      <c r="AE85" s="40" t="inlineStr">
        <is>
          <t>Stainless
Steel Sink</t>
        </is>
      </c>
      <c r="AF85" s="40" t="inlineStr">
        <is>
          <t>Cabinet
Handle</t>
        </is>
      </c>
      <c r="AG85" s="41" t="n"/>
      <c r="AH85" s="41" t="n"/>
      <c r="AI85" s="41" t="n"/>
      <c r="AJ85" s="40" t="inlineStr">
        <is>
          <t>Remarks</t>
        </is>
      </c>
      <c r="AK85" s="33" t="n"/>
      <c r="AL85" s="33" t="n"/>
    </row>
    <row r="86" ht="28" customHeight="1">
      <c r="A86" s="42" t="n"/>
      <c r="B86" s="42" t="n"/>
      <c r="C86" s="43" t="inlineStr">
        <is>
          <t>Carcass</t>
        </is>
      </c>
      <c r="D86" s="42" t="n"/>
      <c r="E86" s="42" t="n"/>
      <c r="F86" s="44" t="n">
        <v>1.18</v>
      </c>
      <c r="G86" s="44" t="inlineStr"/>
      <c r="H86" s="44" t="n">
        <v>0.76</v>
      </c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33" t="n"/>
      <c r="AL86" s="33" t="n"/>
    </row>
    <row r="87" ht="16" customHeight="1">
      <c r="A87" s="45" t="n"/>
      <c r="B87" s="46" t="inlineStr">
        <is>
          <t>D1</t>
        </is>
      </c>
      <c r="C87" s="47" t="inlineStr">
        <is>
          <t>9mm MDF wall back panel</t>
        </is>
      </c>
      <c r="D87" s="46" t="inlineStr">
        <is>
          <t>M²</t>
        </is>
      </c>
      <c r="E87" s="46" t="n"/>
      <c r="F87" s="46" t="n">
        <v>1.18</v>
      </c>
      <c r="G87" s="46" t="n"/>
      <c r="H87" s="46" t="n">
        <v>0.76</v>
      </c>
      <c r="I87" s="48">
        <f>F87*H87</f>
        <v/>
      </c>
      <c r="J87" s="46" t="n"/>
      <c r="K87" s="49">
        <f>I87</f>
        <v/>
      </c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33" t="n"/>
      <c r="AH87" s="33" t="n"/>
      <c r="AI87" s="33" t="n"/>
      <c r="AJ87" s="50" t="inlineStr"/>
      <c r="AK87" s="33" t="n"/>
      <c r="AL87" s="33" t="n"/>
    </row>
    <row r="88" ht="16" customHeight="1">
      <c r="A88" s="51" t="n"/>
      <c r="B88" s="52" t="inlineStr">
        <is>
          <t>D2</t>
        </is>
      </c>
      <c r="C88" s="53" t="inlineStr">
        <is>
          <t>18mm MDF bottom panel</t>
        </is>
      </c>
      <c r="D88" s="52" t="inlineStr">
        <is>
          <t>M²</t>
        </is>
      </c>
      <c r="E88" s="52" t="n"/>
      <c r="F88" s="52" t="n">
        <v>1.18</v>
      </c>
      <c r="G88" s="52" t="n">
        <v>0.62</v>
      </c>
      <c r="H88" s="52" t="n"/>
      <c r="I88" s="54">
        <f>F88*G88</f>
        <v/>
      </c>
      <c r="J88" s="52" t="n"/>
      <c r="K88" s="52" t="n"/>
      <c r="L88" s="52" t="n"/>
      <c r="M88" s="49">
        <f>I88</f>
        <v/>
      </c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5" t="n"/>
      <c r="AH88" s="55" t="n"/>
      <c r="AI88" s="55" t="n"/>
      <c r="AJ88" s="56" t="inlineStr"/>
      <c r="AK88" s="33" t="n"/>
      <c r="AL88" s="33" t="n"/>
    </row>
    <row r="89" ht="16" customHeight="1">
      <c r="A89" s="45" t="n"/>
      <c r="B89" s="46" t="inlineStr">
        <is>
          <t>D3</t>
        </is>
      </c>
      <c r="C89" s="47" t="inlineStr">
        <is>
          <t>18mm MDF top panel (open top)</t>
        </is>
      </c>
      <c r="D89" s="46" t="inlineStr">
        <is>
          <t>M²</t>
        </is>
      </c>
      <c r="E89" s="46" t="n">
        <v>0</v>
      </c>
      <c r="F89" s="46" t="n">
        <v>1.18</v>
      </c>
      <c r="G89" s="46" t="n">
        <v>0.62</v>
      </c>
      <c r="H89" s="46" t="n"/>
      <c r="I89" s="48">
        <f>F89*G89</f>
        <v/>
      </c>
      <c r="J89" s="46" t="n"/>
      <c r="K89" s="46" t="n"/>
      <c r="L89" s="46" t="n"/>
      <c r="M89" s="49">
        <f>I89</f>
        <v/>
      </c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33" t="n"/>
      <c r="AH89" s="33" t="n"/>
      <c r="AI89" s="33" t="n"/>
      <c r="AJ89" s="50" t="inlineStr">
        <is>
          <t>Open-top configuration; qty = 0</t>
        </is>
      </c>
      <c r="AK89" s="33" t="n"/>
      <c r="AL89" s="33" t="n"/>
    </row>
    <row r="90" ht="16" customHeight="1">
      <c r="A90" s="51" t="n"/>
      <c r="B90" s="52" t="inlineStr">
        <is>
          <t>D4</t>
        </is>
      </c>
      <c r="C90" s="53" t="inlineStr">
        <is>
          <t>18mm MDF side panels</t>
        </is>
      </c>
      <c r="D90" s="52" t="inlineStr">
        <is>
          <t>M²</t>
        </is>
      </c>
      <c r="E90" s="52" t="n">
        <v>2</v>
      </c>
      <c r="F90" s="52" t="n"/>
      <c r="G90" s="52" t="n">
        <v>0.62</v>
      </c>
      <c r="H90" s="52" t="n">
        <v>0.76</v>
      </c>
      <c r="I90" s="54">
        <f>=G90*H90*E90</f>
        <v/>
      </c>
      <c r="J90" s="52" t="n"/>
      <c r="K90" s="52" t="n"/>
      <c r="L90" s="52" t="n"/>
      <c r="M90" s="49">
        <f>I90</f>
        <v/>
      </c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5" t="n"/>
      <c r="AH90" s="55" t="n"/>
      <c r="AI90" s="55" t="n"/>
      <c r="AJ90" s="56" t="inlineStr"/>
      <c r="AK90" s="33" t="n"/>
      <c r="AL90" s="33" t="n"/>
    </row>
    <row r="91" ht="16" customHeight="1">
      <c r="A91" s="45" t="n"/>
      <c r="B91" s="46" t="inlineStr">
        <is>
          <t>D5</t>
        </is>
      </c>
      <c r="C91" s="47" t="inlineStr">
        <is>
          <t>18mm MDF internal dividers</t>
        </is>
      </c>
      <c r="D91" s="46" t="inlineStr">
        <is>
          <t>M²</t>
        </is>
      </c>
      <c r="E91" s="46" t="n">
        <v>2</v>
      </c>
      <c r="F91" s="46" t="n"/>
      <c r="G91" s="46" t="n">
        <v>0.62</v>
      </c>
      <c r="H91" s="46" t="n">
        <v>0.76</v>
      </c>
      <c r="I91" s="48">
        <f>=G91*H91*E91</f>
        <v/>
      </c>
      <c r="J91" s="46" t="n"/>
      <c r="K91" s="46" t="n"/>
      <c r="L91" s="46" t="n"/>
      <c r="M91" s="49">
        <f>I91</f>
        <v/>
      </c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33" t="n"/>
      <c r="AH91" s="33" t="n"/>
      <c r="AI91" s="33" t="n"/>
      <c r="AJ91" s="50" t="inlineStr"/>
      <c r="AK91" s="33" t="n"/>
      <c r="AL91" s="33" t="n"/>
    </row>
    <row r="92" ht="16" customHeight="1">
      <c r="A92" s="51" t="n"/>
      <c r="B92" s="52" t="inlineStr">
        <is>
          <t>D6</t>
        </is>
      </c>
      <c r="C92" s="53" t="inlineStr">
        <is>
          <t>18mm MDF fixed shelves (nil)</t>
        </is>
      </c>
      <c r="D92" s="52" t="inlineStr">
        <is>
          <t>M²</t>
        </is>
      </c>
      <c r="E92" s="52" t="n">
        <v>0</v>
      </c>
      <c r="F92" s="52" t="n">
        <v>1.18</v>
      </c>
      <c r="G92" s="52" t="n">
        <v>0.62</v>
      </c>
      <c r="H92" s="52" t="n"/>
      <c r="I92" s="54">
        <f>F92*G92</f>
        <v/>
      </c>
      <c r="J92" s="52" t="n"/>
      <c r="K92" s="52" t="n"/>
      <c r="L92" s="52" t="n"/>
      <c r="M92" s="49">
        <f>I92</f>
        <v/>
      </c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5" t="n"/>
      <c r="AH92" s="55" t="n"/>
      <c r="AI92" s="55" t="n"/>
      <c r="AJ92" s="56" t="inlineStr">
        <is>
          <t>No fixed shelves</t>
        </is>
      </c>
      <c r="AK92" s="33" t="n"/>
      <c r="AL92" s="33" t="n"/>
    </row>
    <row r="93" ht="16" customHeight="1">
      <c r="A93" s="45" t="n"/>
      <c r="B93" s="46" t="inlineStr">
        <is>
          <t>D7</t>
        </is>
      </c>
      <c r="C93" s="47" t="inlineStr">
        <is>
          <t>PVC lipping to all exposed edges</t>
        </is>
      </c>
      <c r="D93" s="46" t="inlineStr">
        <is>
          <t>LM</t>
        </is>
      </c>
      <c r="E93" s="46" t="n"/>
      <c r="F93" s="46" t="n"/>
      <c r="G93" s="46" t="n"/>
      <c r="H93" s="46" t="n"/>
      <c r="I93" s="48" t="n">
        <v>9.4</v>
      </c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9" t="n">
        <v>9.4</v>
      </c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33" t="n"/>
      <c r="AH93" s="33" t="n"/>
      <c r="AI93" s="33" t="n"/>
      <c r="AJ93" s="50" t="inlineStr">
        <is>
          <t>Total per unit: 9.40 lm</t>
        </is>
      </c>
      <c r="AK93" s="33" t="n"/>
      <c r="AL93" s="33" t="n"/>
    </row>
    <row r="94" ht="28" customHeight="1">
      <c r="A94" s="42" t="n"/>
      <c r="B94" s="42" t="n"/>
      <c r="C94" s="43" t="inlineStr">
        <is>
          <t>Drawer - A</t>
        </is>
      </c>
      <c r="D94" s="42" t="n"/>
      <c r="E94" s="42" t="n"/>
      <c r="F94" s="44" t="n">
        <v>0.59</v>
      </c>
      <c r="G94" s="44" t="inlineStr"/>
      <c r="H94" s="44" t="n">
        <v>0.175</v>
      </c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33" t="n"/>
      <c r="AL94" s="33" t="n"/>
    </row>
    <row r="95" ht="16" customHeight="1">
      <c r="A95" s="45" t="n"/>
      <c r="B95" s="46" t="inlineStr">
        <is>
          <t>D8</t>
        </is>
      </c>
      <c r="C95" s="47" t="inlineStr">
        <is>
          <t>18mm MDF drawer front (shallow)</t>
        </is>
      </c>
      <c r="D95" s="46" t="inlineStr">
        <is>
          <t>M²</t>
        </is>
      </c>
      <c r="E95" s="46" t="n"/>
      <c r="F95" s="46" t="n">
        <v>0.59</v>
      </c>
      <c r="G95" s="46" t="n"/>
      <c r="H95" s="46" t="n">
        <v>0.175</v>
      </c>
      <c r="I95" s="48">
        <f>F95*H95</f>
        <v/>
      </c>
      <c r="J95" s="46" t="n"/>
      <c r="K95" s="46" t="n"/>
      <c r="L95" s="46" t="n"/>
      <c r="M95" s="49">
        <f>I95</f>
        <v/>
      </c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33" t="n"/>
      <c r="AH95" s="33" t="n"/>
      <c r="AI95" s="33" t="n"/>
      <c r="AJ95" s="50" t="inlineStr">
        <is>
          <t>Drawer-A dims: L 0.59m × W 0.50m × H 0.175m</t>
        </is>
      </c>
      <c r="AK95" s="33" t="n"/>
      <c r="AL95" s="33" t="n"/>
    </row>
    <row r="96" ht="16" customHeight="1">
      <c r="A96" s="51" t="n"/>
      <c r="B96" s="52" t="inlineStr">
        <is>
          <t>D9</t>
        </is>
      </c>
      <c r="C96" s="53" t="inlineStr">
        <is>
          <t>12mm MDF drawer sides</t>
        </is>
      </c>
      <c r="D96" s="52" t="inlineStr">
        <is>
          <t>M²</t>
        </is>
      </c>
      <c r="E96" s="52" t="n">
        <v>4</v>
      </c>
      <c r="F96" s="52" t="n">
        <v>0.59</v>
      </c>
      <c r="G96" s="52" t="n"/>
      <c r="H96" s="52" t="n">
        <v>0.175</v>
      </c>
      <c r="I96" s="54">
        <f>=F96*H96*E96</f>
        <v/>
      </c>
      <c r="J96" s="52" t="n"/>
      <c r="K96" s="52" t="n"/>
      <c r="L96" s="49">
        <f>I96</f>
        <v/>
      </c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5" t="n"/>
      <c r="AH96" s="55" t="n"/>
      <c r="AI96" s="55" t="n"/>
      <c r="AJ96" s="56" t="inlineStr"/>
      <c r="AK96" s="33" t="n"/>
      <c r="AL96" s="33" t="n"/>
    </row>
    <row r="97" ht="16" customHeight="1">
      <c r="A97" s="45" t="n"/>
      <c r="B97" s="46" t="inlineStr">
        <is>
          <t>D10</t>
        </is>
      </c>
      <c r="C97" s="47" t="inlineStr">
        <is>
          <t>6mm MDF drawer bottom</t>
        </is>
      </c>
      <c r="D97" s="46" t="inlineStr">
        <is>
          <t>M²</t>
        </is>
      </c>
      <c r="E97" s="46" t="n"/>
      <c r="F97" s="46" t="n">
        <v>0.59</v>
      </c>
      <c r="G97" s="46" t="n">
        <v>0.5</v>
      </c>
      <c r="H97" s="46" t="n"/>
      <c r="I97" s="48">
        <f>F97*G97</f>
        <v/>
      </c>
      <c r="J97" s="49">
        <f>I97</f>
        <v/>
      </c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33" t="n"/>
      <c r="AH97" s="33" t="n"/>
      <c r="AI97" s="33" t="n"/>
      <c r="AJ97" s="50" t="inlineStr"/>
      <c r="AK97" s="33" t="n"/>
      <c r="AL97" s="33" t="n"/>
    </row>
    <row r="98" ht="16" customHeight="1">
      <c r="A98" s="51" t="n"/>
      <c r="B98" s="52" t="inlineStr">
        <is>
          <t>D11</t>
        </is>
      </c>
      <c r="C98" s="53" t="inlineStr">
        <is>
          <t>PVC lipping 18mm to drawer front</t>
        </is>
      </c>
      <c r="D98" s="52" t="inlineStr">
        <is>
          <t>LM</t>
        </is>
      </c>
      <c r="E98" s="52" t="n"/>
      <c r="F98" s="52" t="n"/>
      <c r="G98" s="52" t="n"/>
      <c r="H98" s="52" t="n"/>
      <c r="I98" s="54" t="n">
        <v>1.53</v>
      </c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49" t="n">
        <v>1.53</v>
      </c>
      <c r="U98" s="52" t="n"/>
      <c r="V98" s="49" t="n">
        <v>1.53</v>
      </c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5" t="n"/>
      <c r="AH98" s="55" t="n"/>
      <c r="AI98" s="55" t="n"/>
      <c r="AJ98" s="56" t="inlineStr">
        <is>
          <t>Total per unit: 1.53 lm</t>
        </is>
      </c>
      <c r="AK98" s="33" t="n"/>
      <c r="AL98" s="33" t="n"/>
    </row>
    <row r="99" ht="16" customHeight="1">
      <c r="A99" s="45" t="n"/>
      <c r="B99" s="46" t="inlineStr">
        <is>
          <t>D12</t>
        </is>
      </c>
      <c r="C99" s="47" t="inlineStr">
        <is>
          <t>PVC lipping 12mm to drawer box</t>
        </is>
      </c>
      <c r="D99" s="46" t="inlineStr">
        <is>
          <t>LM</t>
        </is>
      </c>
      <c r="E99" s="46" t="n"/>
      <c r="F99" s="46" t="n"/>
      <c r="G99" s="46" t="n"/>
      <c r="H99" s="46" t="n"/>
      <c r="I99" s="48" t="n">
        <v>2.18</v>
      </c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9" t="n">
        <v>2.18</v>
      </c>
      <c r="U99" s="46" t="n"/>
      <c r="V99" s="46" t="n"/>
      <c r="W99" s="46" t="n"/>
      <c r="X99" s="49" t="n">
        <v>2.18</v>
      </c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33" t="n"/>
      <c r="AH99" s="33" t="n"/>
      <c r="AI99" s="33" t="n"/>
      <c r="AJ99" s="50" t="inlineStr">
        <is>
          <t>Total per unit: 2.18 lm</t>
        </is>
      </c>
      <c r="AK99" s="33" t="n"/>
      <c r="AL99" s="33" t="n"/>
    </row>
    <row r="100" ht="28" customHeight="1">
      <c r="A100" s="42" t="n"/>
      <c r="B100" s="42" t="n"/>
      <c r="C100" s="43" t="inlineStr">
        <is>
          <t>Drawer - B</t>
        </is>
      </c>
      <c r="D100" s="42" t="n"/>
      <c r="E100" s="42" t="n"/>
      <c r="F100" s="44" t="n">
        <v>0.59</v>
      </c>
      <c r="G100" s="44" t="inlineStr"/>
      <c r="H100" s="44" t="n">
        <v>0.375</v>
      </c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33" t="n"/>
      <c r="AL100" s="33" t="n"/>
    </row>
    <row r="101" ht="16" customHeight="1">
      <c r="A101" s="45" t="n"/>
      <c r="B101" s="46" t="inlineStr">
        <is>
          <t>D13</t>
        </is>
      </c>
      <c r="C101" s="47" t="inlineStr">
        <is>
          <t>18mm MDF drawer front (deep)</t>
        </is>
      </c>
      <c r="D101" s="46" t="inlineStr">
        <is>
          <t>M²</t>
        </is>
      </c>
      <c r="E101" s="46" t="n"/>
      <c r="F101" s="46" t="n">
        <v>0.59</v>
      </c>
      <c r="G101" s="46" t="n"/>
      <c r="H101" s="46" t="n">
        <v>0.375</v>
      </c>
      <c r="I101" s="48">
        <f>F101*H101</f>
        <v/>
      </c>
      <c r="J101" s="46" t="n"/>
      <c r="K101" s="46" t="n"/>
      <c r="L101" s="46" t="n"/>
      <c r="M101" s="49">
        <f>I101</f>
        <v/>
      </c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33" t="n"/>
      <c r="AH101" s="33" t="n"/>
      <c r="AI101" s="33" t="n"/>
      <c r="AJ101" s="50" t="inlineStr">
        <is>
          <t>Drawer-B dims: L 0.59m × W 0.50m × H 0.375m</t>
        </is>
      </c>
      <c r="AK101" s="33" t="n"/>
      <c r="AL101" s="33" t="n"/>
    </row>
    <row r="102" ht="16" customHeight="1">
      <c r="A102" s="51" t="n"/>
      <c r="B102" s="52" t="inlineStr">
        <is>
          <t>D14</t>
        </is>
      </c>
      <c r="C102" s="53" t="inlineStr">
        <is>
          <t>12mm MDF drawer sides</t>
        </is>
      </c>
      <c r="D102" s="52" t="inlineStr">
        <is>
          <t>M²</t>
        </is>
      </c>
      <c r="E102" s="52" t="n">
        <v>4</v>
      </c>
      <c r="F102" s="52" t="n">
        <v>0.59</v>
      </c>
      <c r="G102" s="52" t="n"/>
      <c r="H102" s="52" t="n">
        <v>0.375</v>
      </c>
      <c r="I102" s="54">
        <f>=F102*H102*E102</f>
        <v/>
      </c>
      <c r="J102" s="52" t="n"/>
      <c r="K102" s="52" t="n"/>
      <c r="L102" s="49">
        <f>I102</f>
        <v/>
      </c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5" t="n"/>
      <c r="AH102" s="55" t="n"/>
      <c r="AI102" s="55" t="n"/>
      <c r="AJ102" s="56" t="inlineStr"/>
      <c r="AK102" s="33" t="n"/>
      <c r="AL102" s="33" t="n"/>
    </row>
    <row r="103" ht="16" customHeight="1">
      <c r="A103" s="45" t="n"/>
      <c r="B103" s="46" t="inlineStr">
        <is>
          <t>D15</t>
        </is>
      </c>
      <c r="C103" s="47" t="inlineStr">
        <is>
          <t>6mm MDF drawer bottom</t>
        </is>
      </c>
      <c r="D103" s="46" t="inlineStr">
        <is>
          <t>M²</t>
        </is>
      </c>
      <c r="E103" s="46" t="n"/>
      <c r="F103" s="46" t="n">
        <v>0.59</v>
      </c>
      <c r="G103" s="46" t="n">
        <v>0.5</v>
      </c>
      <c r="H103" s="46" t="n"/>
      <c r="I103" s="48">
        <f>F103*G103</f>
        <v/>
      </c>
      <c r="J103" s="49">
        <f>I103</f>
        <v/>
      </c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33" t="n"/>
      <c r="AH103" s="33" t="n"/>
      <c r="AI103" s="33" t="n"/>
      <c r="AJ103" s="50" t="inlineStr"/>
      <c r="AK103" s="33" t="n"/>
      <c r="AL103" s="33" t="n"/>
    </row>
    <row r="104" ht="16" customHeight="1">
      <c r="A104" s="51" t="n"/>
      <c r="B104" s="52" t="inlineStr">
        <is>
          <t>D16</t>
        </is>
      </c>
      <c r="C104" s="53" t="inlineStr">
        <is>
          <t>PVC lipping 18mm to drawer front</t>
        </is>
      </c>
      <c r="D104" s="52" t="inlineStr">
        <is>
          <t>LM</t>
        </is>
      </c>
      <c r="E104" s="52" t="n"/>
      <c r="F104" s="52" t="n"/>
      <c r="G104" s="52" t="n"/>
      <c r="H104" s="52" t="n"/>
      <c r="I104" s="54" t="n">
        <v>1.93</v>
      </c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49" t="n">
        <v>1.93</v>
      </c>
      <c r="U104" s="52" t="n"/>
      <c r="V104" s="49" t="n">
        <v>1.93</v>
      </c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5" t="n"/>
      <c r="AH104" s="55" t="n"/>
      <c r="AI104" s="55" t="n"/>
      <c r="AJ104" s="56" t="inlineStr">
        <is>
          <t>Total per unit: 1.93 lm</t>
        </is>
      </c>
      <c r="AK104" s="33" t="n"/>
      <c r="AL104" s="33" t="n"/>
    </row>
    <row r="105" ht="16" customHeight="1">
      <c r="A105" s="45" t="n"/>
      <c r="B105" s="46" t="inlineStr">
        <is>
          <t>D17</t>
        </is>
      </c>
      <c r="C105" s="47" t="inlineStr">
        <is>
          <t>PVC lipping 12mm to drawer box</t>
        </is>
      </c>
      <c r="D105" s="46" t="inlineStr">
        <is>
          <t>LM</t>
        </is>
      </c>
      <c r="E105" s="46" t="n"/>
      <c r="F105" s="46" t="n"/>
      <c r="G105" s="46" t="n"/>
      <c r="H105" s="46" t="n"/>
      <c r="I105" s="48" t="n">
        <v>2.18</v>
      </c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9" t="n">
        <v>2.18</v>
      </c>
      <c r="U105" s="46" t="n"/>
      <c r="V105" s="46" t="n"/>
      <c r="W105" s="46" t="n"/>
      <c r="X105" s="49" t="n">
        <v>2.18</v>
      </c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33" t="n"/>
      <c r="AH105" s="33" t="n"/>
      <c r="AI105" s="33" t="n"/>
      <c r="AJ105" s="50" t="inlineStr">
        <is>
          <t>Total per unit: 2.18 lm</t>
        </is>
      </c>
      <c r="AK105" s="33" t="n"/>
      <c r="AL105" s="33" t="n"/>
    </row>
    <row r="106" ht="28" customHeight="1">
      <c r="A106" s="42" t="n"/>
      <c r="B106" s="42" t="n"/>
      <c r="C106" s="43" t="inlineStr">
        <is>
          <t>Shutter</t>
        </is>
      </c>
      <c r="D106" s="42" t="n"/>
      <c r="E106" s="42" t="n"/>
      <c r="F106" s="44" t="n">
        <v>1.18</v>
      </c>
      <c r="G106" s="44" t="inlineStr"/>
      <c r="H106" s="44" t="n">
        <v>0.76</v>
      </c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33" t="n"/>
      <c r="AL106" s="33" t="n"/>
    </row>
    <row r="107" ht="16" customHeight="1">
      <c r="A107" s="45" t="n"/>
      <c r="B107" s="46" t="inlineStr">
        <is>
          <t>D18</t>
        </is>
      </c>
      <c r="C107" s="47" t="inlineStr">
        <is>
          <t>18mm MDF plain shutter panel</t>
        </is>
      </c>
      <c r="D107" s="46" t="inlineStr">
        <is>
          <t>M²</t>
        </is>
      </c>
      <c r="E107" s="46" t="n"/>
      <c r="F107" s="46" t="n">
        <v>1.18</v>
      </c>
      <c r="G107" s="46" t="n"/>
      <c r="H107" s="46" t="n">
        <v>0.76</v>
      </c>
      <c r="I107" s="48" t="n">
        <v>1.794</v>
      </c>
      <c r="J107" s="46" t="n"/>
      <c r="K107" s="46" t="n"/>
      <c r="L107" s="46" t="n"/>
      <c r="M107" s="46" t="n"/>
      <c r="N107" s="49" t="n">
        <v>1</v>
      </c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33" t="n"/>
      <c r="AH107" s="33" t="n"/>
      <c r="AI107" s="33" t="n"/>
      <c r="AJ107" s="50" t="inlineStr">
        <is>
          <t>Laminate PL-01 both faces = 1.794 m²</t>
        </is>
      </c>
      <c r="AK107" s="33" t="n"/>
      <c r="AL107" s="33" t="n"/>
    </row>
    <row r="108" ht="16" customHeight="1">
      <c r="A108" s="51" t="n"/>
      <c r="B108" s="52" t="inlineStr">
        <is>
          <t>D19</t>
        </is>
      </c>
      <c r="C108" s="53" t="inlineStr">
        <is>
          <t>PVC lipping to shutter edges</t>
        </is>
      </c>
      <c r="D108" s="52" t="inlineStr">
        <is>
          <t>LM</t>
        </is>
      </c>
      <c r="E108" s="52" t="n"/>
      <c r="F108" s="52" t="n"/>
      <c r="G108" s="52" t="n"/>
      <c r="H108" s="52" t="n"/>
      <c r="I108" s="54" t="n">
        <v>3.88</v>
      </c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49" t="n">
        <v>3.88</v>
      </c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5" t="n"/>
      <c r="AH108" s="55" t="n"/>
      <c r="AI108" s="55" t="n"/>
      <c r="AJ108" s="56" t="inlineStr">
        <is>
          <t>Total per unit: 3.88 lm</t>
        </is>
      </c>
      <c r="AK108" s="33" t="n"/>
      <c r="AL108" s="33" t="n"/>
    </row>
    <row r="109" ht="16" customHeight="1">
      <c r="A109" s="45" t="n"/>
      <c r="B109" s="46" t="inlineStr">
        <is>
          <t>D20</t>
        </is>
      </c>
      <c r="C109" s="47" t="inlineStr">
        <is>
          <t>Counter substrate – plywood base to countertop</t>
        </is>
      </c>
      <c r="D109" s="46" t="inlineStr">
        <is>
          <t>M²</t>
        </is>
      </c>
      <c r="E109" s="46" t="n"/>
      <c r="F109" s="46" t="n">
        <v>1.18</v>
      </c>
      <c r="G109" s="46" t="n">
        <v>0.62</v>
      </c>
      <c r="H109" s="46" t="n"/>
      <c r="I109" s="48">
        <f>F109*G109</f>
        <v/>
      </c>
      <c r="J109" s="46" t="n"/>
      <c r="K109" s="46" t="n"/>
      <c r="L109" s="46" t="n"/>
      <c r="M109" s="46" t="n"/>
      <c r="N109" s="46" t="n"/>
      <c r="O109" s="49">
        <f>I109</f>
        <v/>
      </c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33" t="n"/>
      <c r="AH109" s="33" t="n"/>
      <c r="AI109" s="33" t="n"/>
      <c r="AJ109" s="50" t="inlineStr"/>
      <c r="AK109" s="33" t="n"/>
      <c r="AL109" s="33" t="n"/>
    </row>
    <row r="110" ht="28" customHeight="1">
      <c r="A110" s="42" t="n"/>
      <c r="B110" s="42" t="n"/>
      <c r="C110" s="43" t="inlineStr">
        <is>
          <t>Hardware</t>
        </is>
      </c>
      <c r="D110" s="42" t="n"/>
      <c r="E110" s="42" t="n"/>
      <c r="F110" s="44" t="inlineStr"/>
      <c r="G110" s="44" t="inlineStr"/>
      <c r="H110" s="44" t="inlineStr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33" t="n"/>
      <c r="AL110" s="33" t="n"/>
    </row>
    <row r="111" ht="16" customHeight="1">
      <c r="A111" s="45" t="n"/>
      <c r="B111" s="46" t="inlineStr">
        <is>
          <t>D21</t>
        </is>
      </c>
      <c r="C111" s="47" t="inlineStr">
        <is>
          <t>Ironmongery – Full overlay soft-close hinges</t>
        </is>
      </c>
      <c r="D111" s="46" t="inlineStr">
        <is>
          <t>Nr</t>
        </is>
      </c>
      <c r="E111" s="46" t="n">
        <v>2</v>
      </c>
      <c r="F111" s="46" t="n"/>
      <c r="G111" s="46" t="n"/>
      <c r="H111" s="46" t="n"/>
      <c r="I111" s="48">
        <f>E111</f>
        <v/>
      </c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9">
        <f>I111</f>
        <v/>
      </c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33" t="n"/>
      <c r="AH111" s="33" t="n"/>
      <c r="AI111" s="33" t="n"/>
      <c r="AJ111" s="50" t="inlineStr"/>
      <c r="AK111" s="33" t="n"/>
      <c r="AL111" s="33" t="n"/>
    </row>
    <row r="112" ht="28" customHeight="1">
      <c r="A112" s="42" t="n"/>
      <c r="B112" s="42" t="n"/>
      <c r="C112" s="43" t="inlineStr">
        <is>
          <t>Drawer</t>
        </is>
      </c>
      <c r="D112" s="42" t="n"/>
      <c r="E112" s="42" t="n"/>
      <c r="F112" s="44" t="inlineStr"/>
      <c r="G112" s="44" t="inlineStr"/>
      <c r="H112" s="44" t="inlineStr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33" t="n"/>
      <c r="AL112" s="33" t="n"/>
    </row>
    <row r="113" ht="16" customHeight="1">
      <c r="A113" s="45" t="n"/>
      <c r="B113" s="46" t="inlineStr">
        <is>
          <t>D22</t>
        </is>
      </c>
      <c r="C113" s="47" t="inlineStr">
        <is>
          <t>Ironmongery – Soft-close full-extension drawer runners</t>
        </is>
      </c>
      <c r="D113" s="46" t="inlineStr">
        <is>
          <t>Pr</t>
        </is>
      </c>
      <c r="E113" s="46" t="n">
        <v>2</v>
      </c>
      <c r="F113" s="46" t="n"/>
      <c r="G113" s="46" t="n"/>
      <c r="H113" s="46" t="n"/>
      <c r="I113" s="48">
        <f>E113</f>
        <v/>
      </c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9">
        <f>I113</f>
        <v/>
      </c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33" t="n"/>
      <c r="AH113" s="33" t="n"/>
      <c r="AI113" s="33" t="n"/>
      <c r="AJ113" s="50" t="inlineStr"/>
      <c r="AK113" s="33" t="n"/>
      <c r="AL113" s="33" t="n"/>
    </row>
    <row r="114" ht="28" customHeight="1">
      <c r="A114" s="42" t="n"/>
      <c r="B114" s="42" t="n"/>
      <c r="C114" s="43" t="inlineStr">
        <is>
          <t>Hardware</t>
        </is>
      </c>
      <c r="D114" s="42" t="n"/>
      <c r="E114" s="42" t="n"/>
      <c r="F114" s="44" t="inlineStr"/>
      <c r="G114" s="44" t="inlineStr"/>
      <c r="H114" s="44" t="inlineStr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33" t="n"/>
      <c r="AL114" s="33" t="n"/>
    </row>
    <row r="115" ht="16" customHeight="1">
      <c r="A115" s="45" t="n"/>
      <c r="B115" s="46" t="inlineStr">
        <is>
          <t>D23</t>
        </is>
      </c>
      <c r="C115" s="47" t="inlineStr">
        <is>
          <t>Ironmongery – Ball catcher / magnetic catch</t>
        </is>
      </c>
      <c r="D115" s="46" t="inlineStr">
        <is>
          <t>Nr</t>
        </is>
      </c>
      <c r="E115" s="46" t="n">
        <v>2</v>
      </c>
      <c r="F115" s="46" t="n"/>
      <c r="G115" s="46" t="n"/>
      <c r="H115" s="46" t="n"/>
      <c r="I115" s="48">
        <f>E115</f>
        <v/>
      </c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33" t="n"/>
      <c r="AH115" s="33" t="n"/>
      <c r="AI115" s="33" t="n"/>
      <c r="AJ115" s="50" t="inlineStr"/>
      <c r="AK115" s="33" t="n"/>
      <c r="AL115" s="33" t="n"/>
    </row>
    <row r="116" ht="16" customHeight="1">
      <c r="A116" s="51" t="n"/>
      <c r="B116" s="52" t="inlineStr">
        <is>
          <t>D24</t>
        </is>
      </c>
      <c r="C116" s="53" t="inlineStr">
        <is>
          <t>Skirting – aluminium skirting to base of unit</t>
        </is>
      </c>
      <c r="D116" s="52" t="inlineStr">
        <is>
          <t>LM</t>
        </is>
      </c>
      <c r="E116" s="52" t="n"/>
      <c r="F116" s="52" t="n"/>
      <c r="G116" s="52" t="n"/>
      <c r="H116" s="52" t="n"/>
      <c r="I116" s="54" t="n">
        <v>1.18</v>
      </c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49" t="n">
        <v>1.18</v>
      </c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5" t="n"/>
      <c r="AH116" s="55" t="n"/>
      <c r="AI116" s="55" t="n"/>
      <c r="AJ116" s="56" t="inlineStr">
        <is>
          <t>Total per unit: 1.18 lm</t>
        </is>
      </c>
      <c r="AK116" s="33" t="n"/>
      <c r="AL116" s="33" t="n"/>
    </row>
    <row r="117" ht="20" customHeight="1">
      <c r="I117" s="57" t="inlineStr">
        <is>
          <t>Per Unit</t>
        </is>
      </c>
      <c r="J117" s="58">
        <f>SUM(J86:J116)</f>
        <v/>
      </c>
      <c r="K117" s="58">
        <f>SUM(K86:K116)</f>
        <v/>
      </c>
      <c r="L117" s="58">
        <f>SUM(L86:L116)</f>
        <v/>
      </c>
      <c r="M117" s="58">
        <f>SUM(M86:M116)</f>
        <v/>
      </c>
      <c r="N117" s="58">
        <f>SUM(N86:N116)</f>
        <v/>
      </c>
      <c r="O117" s="58">
        <f>SUM(O86:O116)</f>
        <v/>
      </c>
      <c r="P117" s="58">
        <f>SUM(P86:P116)</f>
        <v/>
      </c>
      <c r="Q117" s="58">
        <f>SUM(Q86:Q116)</f>
        <v/>
      </c>
      <c r="R117" s="58">
        <f>SUM(R86:R116)</f>
        <v/>
      </c>
      <c r="S117" s="58">
        <f>SUM(S86:S116)</f>
        <v/>
      </c>
      <c r="T117" s="58">
        <f>SUM(T86:T116)</f>
        <v/>
      </c>
      <c r="U117" s="58">
        <f>SUM(U86:U116)</f>
        <v/>
      </c>
      <c r="V117" s="58">
        <f>SUM(V86:V116)</f>
        <v/>
      </c>
      <c r="W117" s="58">
        <f>SUM(W86:W116)</f>
        <v/>
      </c>
      <c r="X117" s="58">
        <f>SUM(X86:X116)</f>
        <v/>
      </c>
      <c r="Y117" s="58">
        <f>SUM(Y86:Y116)</f>
        <v/>
      </c>
      <c r="Z117" s="58">
        <f>SUM(Z86:Z116)</f>
        <v/>
      </c>
      <c r="AA117" s="58">
        <f>SUM(AA86:AA116)</f>
        <v/>
      </c>
      <c r="AB117" s="58">
        <f>SUM(AB86:AB116)</f>
        <v/>
      </c>
      <c r="AC117" s="58">
        <f>SUM(AC86:AC116)</f>
        <v/>
      </c>
      <c r="AD117" s="58">
        <f>SUM(AD86:AD116)</f>
        <v/>
      </c>
      <c r="AE117" s="58">
        <f>SUM(AE86:AE116)</f>
        <v/>
      </c>
      <c r="AF117" s="58">
        <f>SUM(AF86:AF116)</f>
        <v/>
      </c>
      <c r="AK117" s="33" t="n"/>
      <c r="AL117" s="33" t="n"/>
    </row>
    <row r="118" ht="22" customHeight="1">
      <c r="H118" s="59">
        <f>H2</f>
        <v/>
      </c>
      <c r="I118" s="60" t="inlineStr">
        <is>
          <t>Total Unit</t>
        </is>
      </c>
      <c r="J118" s="61">
        <f>J117*H2/2.88</f>
        <v/>
      </c>
      <c r="K118" s="61">
        <f>K117*H2/2.88</f>
        <v/>
      </c>
      <c r="L118" s="61">
        <f>L117*H2/2.88</f>
        <v/>
      </c>
      <c r="M118" s="61">
        <f>M117*H2/2.88</f>
        <v/>
      </c>
      <c r="N118" s="61">
        <f>N117*H2/2.88</f>
        <v/>
      </c>
      <c r="O118" s="61">
        <f>O117*H2/2.88</f>
        <v/>
      </c>
      <c r="P118" s="61">
        <f>P117*H2/2.88</f>
        <v/>
      </c>
      <c r="Q118" s="61">
        <f>Q117*H2/2.88</f>
        <v/>
      </c>
      <c r="R118" s="61">
        <f>R117*H2</f>
        <v/>
      </c>
      <c r="S118" s="61">
        <f>S117*H2</f>
        <v/>
      </c>
      <c r="T118" s="61">
        <f>T117*H2/2.88</f>
        <v/>
      </c>
      <c r="U118" s="61">
        <f>U117*H2/2.88</f>
        <v/>
      </c>
      <c r="V118" s="61">
        <f>V117*H2/2.88</f>
        <v/>
      </c>
      <c r="W118" s="61">
        <f>W117*H2/2.88</f>
        <v/>
      </c>
      <c r="X118" s="61">
        <f>X117*H2/2.88</f>
        <v/>
      </c>
      <c r="Y118" s="61">
        <f>Y117*H2/2.88</f>
        <v/>
      </c>
      <c r="Z118" s="61">
        <f>Z117*H2/2.88</f>
        <v/>
      </c>
      <c r="AA118" s="61">
        <f>AA117*H2</f>
        <v/>
      </c>
      <c r="AB118" s="61">
        <f>AB117*H2</f>
        <v/>
      </c>
      <c r="AC118" s="61">
        <f>AC117*H2</f>
        <v/>
      </c>
      <c r="AD118" s="61">
        <f>AD117*H2</f>
        <v/>
      </c>
      <c r="AE118" s="61">
        <f>AE117*H2</f>
        <v/>
      </c>
      <c r="AF118" s="61">
        <f>AF117*H2</f>
        <v/>
      </c>
      <c r="AK118" s="33" t="n"/>
      <c r="AL118" s="33" t="n"/>
    </row>
    <row r="119" ht="10" customHeight="1">
      <c r="AK119" s="33" t="n"/>
      <c r="AL119" s="33" t="n"/>
    </row>
    <row r="120" ht="32" customHeight="1">
      <c r="A120" s="36" t="n"/>
      <c r="B120" s="37" t="inlineStr">
        <is>
          <t xml:space="preserve">  ELV - G1  </t>
        </is>
      </c>
      <c r="C120" s="38" t="inlineStr">
        <is>
          <t>ISLAND COUNTER</t>
        </is>
      </c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9" t="inlineStr">
        <is>
          <t>Unit overall dimensions: L 1.15m × W 0.57m × H 0.80m. No drawers in this unit.</t>
        </is>
      </c>
      <c r="AK120" s="33" t="n"/>
      <c r="AL120" s="33" t="n"/>
    </row>
    <row r="121" ht="60" customHeight="1">
      <c r="A121" s="40" t="inlineStr"/>
      <c r="B121" s="40" t="inlineStr">
        <is>
          <t>S.No</t>
        </is>
      </c>
      <c r="C121" s="40" t="inlineStr">
        <is>
          <t>Description</t>
        </is>
      </c>
      <c r="D121" s="40" t="inlineStr">
        <is>
          <t>Unit</t>
        </is>
      </c>
      <c r="E121" s="40" t="inlineStr">
        <is>
          <t>Times</t>
        </is>
      </c>
      <c r="F121" s="40" t="inlineStr">
        <is>
          <t>L</t>
        </is>
      </c>
      <c r="G121" s="40" t="inlineStr">
        <is>
          <t>W</t>
        </is>
      </c>
      <c r="H121" s="40" t="inlineStr">
        <is>
          <t>H</t>
        </is>
      </c>
      <c r="I121" s="40" t="inlineStr">
        <is>
          <t>Total QTY</t>
        </is>
      </c>
      <c r="J121" s="40" t="inlineStr">
        <is>
          <t>6mm both
Melamine MR MDF Sheet</t>
        </is>
      </c>
      <c r="K121" s="40" t="inlineStr">
        <is>
          <t>9mm both Melamine
MR MDF Sheet</t>
        </is>
      </c>
      <c r="L121" s="40" t="inlineStr">
        <is>
          <t>12mm both Melamine
MR MDF Sheet</t>
        </is>
      </c>
      <c r="M121" s="40" t="inlineStr">
        <is>
          <t>18mm both Melamine
MR MDF Sheet</t>
        </is>
      </c>
      <c r="N121" s="40" t="inlineStr">
        <is>
          <t>18mm Plain
MR MDF Sheet</t>
        </is>
      </c>
      <c r="O121" s="40" t="inlineStr">
        <is>
          <t>Plywood</t>
        </is>
      </c>
      <c r="P121" s="40" t="inlineStr">
        <is>
          <t>25mm Plain MR MDF</t>
        </is>
      </c>
      <c r="Q121" s="40" t="inlineStr">
        <is>
          <t>PL-01
Laminate (0.8mm)</t>
        </is>
      </c>
      <c r="R121" s="40" t="inlineStr">
        <is>
          <t>Full overlay
Hinges</t>
        </is>
      </c>
      <c r="S121" s="40" t="inlineStr">
        <is>
          <t>Drawer Runner
(0.5m)</t>
        </is>
      </c>
      <c r="T121" s="40" t="inlineStr">
        <is>
          <t>PVC Lipping
Gray Melamine</t>
        </is>
      </c>
      <c r="U121" s="40" t="inlineStr">
        <is>
          <t>PVC Lipping
25mm</t>
        </is>
      </c>
      <c r="V121" s="40" t="inlineStr">
        <is>
          <t>PVC Lipping
18mm</t>
        </is>
      </c>
      <c r="W121" s="40" t="inlineStr">
        <is>
          <t>Aluminium
Skirting</t>
        </is>
      </c>
      <c r="X121" s="40" t="inlineStr">
        <is>
          <t>PVC Lipping
12mm</t>
        </is>
      </c>
      <c r="Y121" s="40" t="inlineStr">
        <is>
          <t>12mm MR MDF</t>
        </is>
      </c>
      <c r="Z121" s="40" t="inlineStr">
        <is>
          <t>Timber (M³)</t>
        </is>
      </c>
      <c r="AA121" s="40" t="inlineStr">
        <is>
          <t>Kitchen Mixer
Tap</t>
        </is>
      </c>
      <c r="AB121" s="40" t="inlineStr">
        <is>
          <t>Exhaust
Fan</t>
        </is>
      </c>
      <c r="AC121" s="40" t="inlineStr">
        <is>
          <t>Gas Hob
(4 Burner)</t>
        </is>
      </c>
      <c r="AD121" s="40" t="inlineStr">
        <is>
          <t>Built-in
Oven</t>
        </is>
      </c>
      <c r="AE121" s="40" t="inlineStr">
        <is>
          <t>Stainless
Steel Sink</t>
        </is>
      </c>
      <c r="AF121" s="40" t="inlineStr">
        <is>
          <t>Cabinet
Handle</t>
        </is>
      </c>
      <c r="AG121" s="41" t="n"/>
      <c r="AH121" s="41" t="n"/>
      <c r="AI121" s="41" t="n"/>
      <c r="AJ121" s="40" t="inlineStr">
        <is>
          <t>Remarks</t>
        </is>
      </c>
      <c r="AK121" s="33" t="n"/>
      <c r="AL121" s="33" t="n"/>
    </row>
    <row r="122" ht="28" customHeight="1">
      <c r="A122" s="42" t="n"/>
      <c r="B122" s="42" t="n"/>
      <c r="C122" s="43" t="inlineStr">
        <is>
          <t>Carcass</t>
        </is>
      </c>
      <c r="D122" s="42" t="n"/>
      <c r="E122" s="42" t="n"/>
      <c r="F122" s="44" t="n">
        <v>1.15</v>
      </c>
      <c r="G122" s="44" t="inlineStr"/>
      <c r="H122" s="44" t="n">
        <v>0.8</v>
      </c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33" t="n"/>
      <c r="AL122" s="33" t="n"/>
    </row>
    <row r="123" ht="16" customHeight="1">
      <c r="A123" s="45" t="n"/>
      <c r="B123" s="46" t="inlineStr">
        <is>
          <t>E1</t>
        </is>
      </c>
      <c r="C123" s="47" t="inlineStr">
        <is>
          <t>9mm MDF wall back panel</t>
        </is>
      </c>
      <c r="D123" s="46" t="inlineStr">
        <is>
          <t>M²</t>
        </is>
      </c>
      <c r="E123" s="46" t="n"/>
      <c r="F123" s="46" t="n">
        <v>1.15</v>
      </c>
      <c r="G123" s="46" t="n"/>
      <c r="H123" s="46" t="n">
        <v>0.8</v>
      </c>
      <c r="I123" s="48">
        <f>F123*H123</f>
        <v/>
      </c>
      <c r="J123" s="46" t="n"/>
      <c r="K123" s="49">
        <f>I123</f>
        <v/>
      </c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33" t="n"/>
      <c r="AH123" s="33" t="n"/>
      <c r="AI123" s="33" t="n"/>
      <c r="AJ123" s="50" t="inlineStr"/>
      <c r="AK123" s="33" t="n"/>
      <c r="AL123" s="33" t="n"/>
    </row>
    <row r="124" ht="16" customHeight="1">
      <c r="A124" s="51" t="n"/>
      <c r="B124" s="52" t="inlineStr">
        <is>
          <t>E2</t>
        </is>
      </c>
      <c r="C124" s="53" t="inlineStr">
        <is>
          <t>18mm MDF bottom panel</t>
        </is>
      </c>
      <c r="D124" s="52" t="inlineStr">
        <is>
          <t>M²</t>
        </is>
      </c>
      <c r="E124" s="52" t="n"/>
      <c r="F124" s="52" t="n">
        <v>1.15</v>
      </c>
      <c r="G124" s="52" t="n">
        <v>0.57</v>
      </c>
      <c r="H124" s="52" t="n"/>
      <c r="I124" s="54">
        <f>F124*G124</f>
        <v/>
      </c>
      <c r="J124" s="52" t="n"/>
      <c r="K124" s="52" t="n"/>
      <c r="L124" s="52" t="n"/>
      <c r="M124" s="49">
        <f>I124</f>
        <v/>
      </c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5" t="n"/>
      <c r="AH124" s="55" t="n"/>
      <c r="AI124" s="55" t="n"/>
      <c r="AJ124" s="56" t="inlineStr"/>
      <c r="AK124" s="33" t="n"/>
      <c r="AL124" s="33" t="n"/>
    </row>
    <row r="125" ht="16" customHeight="1">
      <c r="A125" s="45" t="n"/>
      <c r="B125" s="46" t="inlineStr">
        <is>
          <t>E3</t>
        </is>
      </c>
      <c r="C125" s="47" t="inlineStr">
        <is>
          <t>18mm MDF top panel</t>
        </is>
      </c>
      <c r="D125" s="46" t="inlineStr">
        <is>
          <t>M²</t>
        </is>
      </c>
      <c r="E125" s="46" t="n"/>
      <c r="F125" s="46" t="n">
        <v>1.15</v>
      </c>
      <c r="G125" s="46" t="n">
        <v>0.57</v>
      </c>
      <c r="H125" s="46" t="n"/>
      <c r="I125" s="48">
        <f>F125*G125</f>
        <v/>
      </c>
      <c r="J125" s="46" t="n"/>
      <c r="K125" s="46" t="n"/>
      <c r="L125" s="46" t="n"/>
      <c r="M125" s="49">
        <f>I125</f>
        <v/>
      </c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33" t="n"/>
      <c r="AH125" s="33" t="n"/>
      <c r="AI125" s="33" t="n"/>
      <c r="AJ125" s="50" t="inlineStr">
        <is>
          <t>Qty not entered in takeoff – confirm with design</t>
        </is>
      </c>
      <c r="AK125" s="33" t="n"/>
      <c r="AL125" s="33" t="n"/>
    </row>
    <row r="126" ht="16" customHeight="1">
      <c r="A126" s="51" t="n"/>
      <c r="B126" s="52" t="inlineStr">
        <is>
          <t>E4</t>
        </is>
      </c>
      <c r="C126" s="53" t="inlineStr">
        <is>
          <t>18mm MDF side panels</t>
        </is>
      </c>
      <c r="D126" s="52" t="inlineStr">
        <is>
          <t>M²</t>
        </is>
      </c>
      <c r="E126" s="52" t="n">
        <v>2</v>
      </c>
      <c r="F126" s="52" t="n"/>
      <c r="G126" s="52" t="n">
        <v>0.57</v>
      </c>
      <c r="H126" s="52" t="n">
        <v>0.8</v>
      </c>
      <c r="I126" s="54">
        <f>=G126*H126*E126</f>
        <v/>
      </c>
      <c r="J126" s="52" t="n"/>
      <c r="K126" s="52" t="n"/>
      <c r="L126" s="52" t="n"/>
      <c r="M126" s="49">
        <f>I126</f>
        <v/>
      </c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5" t="n"/>
      <c r="AH126" s="55" t="n"/>
      <c r="AI126" s="55" t="n"/>
      <c r="AJ126" s="56" t="inlineStr"/>
      <c r="AK126" s="33" t="n"/>
      <c r="AL126" s="33" t="n"/>
    </row>
    <row r="127" ht="16" customHeight="1">
      <c r="A127" s="45" t="n"/>
      <c r="B127" s="46" t="inlineStr">
        <is>
          <t>E5</t>
        </is>
      </c>
      <c r="C127" s="47" t="inlineStr">
        <is>
          <t>18mm MDF internal dividers (nil)</t>
        </is>
      </c>
      <c r="D127" s="46" t="inlineStr">
        <is>
          <t>M²</t>
        </is>
      </c>
      <c r="E127" s="46" t="n">
        <v>0</v>
      </c>
      <c r="F127" s="46" t="n"/>
      <c r="G127" s="46" t="n">
        <v>0.57</v>
      </c>
      <c r="H127" s="46" t="n">
        <v>0.8</v>
      </c>
      <c r="I127" s="48">
        <f>G127*H127</f>
        <v/>
      </c>
      <c r="J127" s="46" t="n"/>
      <c r="K127" s="46" t="n"/>
      <c r="L127" s="46" t="n"/>
      <c r="M127" s="49">
        <f>I127</f>
        <v/>
      </c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33" t="n"/>
      <c r="AH127" s="33" t="n"/>
      <c r="AI127" s="33" t="n"/>
      <c r="AJ127" s="50" t="inlineStr"/>
      <c r="AK127" s="33" t="n"/>
      <c r="AL127" s="33" t="n"/>
    </row>
    <row r="128" ht="16" customHeight="1">
      <c r="A128" s="51" t="n"/>
      <c r="B128" s="52" t="inlineStr">
        <is>
          <t>E6</t>
        </is>
      </c>
      <c r="C128" s="53" t="inlineStr">
        <is>
          <t>18mm MDF fixed shelves (nil)</t>
        </is>
      </c>
      <c r="D128" s="52" t="inlineStr">
        <is>
          <t>M²</t>
        </is>
      </c>
      <c r="E128" s="52" t="n">
        <v>0</v>
      </c>
      <c r="F128" s="52" t="n">
        <v>1.15</v>
      </c>
      <c r="G128" s="52" t="n">
        <v>0.57</v>
      </c>
      <c r="H128" s="52" t="n"/>
      <c r="I128" s="54">
        <f>F128*G128</f>
        <v/>
      </c>
      <c r="J128" s="52" t="n"/>
      <c r="K128" s="52" t="n"/>
      <c r="L128" s="52" t="n"/>
      <c r="M128" s="49">
        <f>I128</f>
        <v/>
      </c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5" t="n"/>
      <c r="AH128" s="55" t="n"/>
      <c r="AI128" s="55" t="n"/>
      <c r="AJ128" s="56" t="inlineStr"/>
      <c r="AK128" s="33" t="n"/>
      <c r="AL128" s="33" t="n"/>
    </row>
    <row r="129" ht="16" customHeight="1">
      <c r="A129" s="45" t="n"/>
      <c r="B129" s="46" t="inlineStr">
        <is>
          <t>E7</t>
        </is>
      </c>
      <c r="C129" s="47" t="inlineStr">
        <is>
          <t>PVC lipping to all exposed edges</t>
        </is>
      </c>
      <c r="D129" s="46" t="inlineStr">
        <is>
          <t>LM</t>
        </is>
      </c>
      <c r="E129" s="46" t="n"/>
      <c r="F129" s="46" t="n"/>
      <c r="G129" s="46" t="n"/>
      <c r="H129" s="46" t="n"/>
      <c r="I129" s="48" t="n">
        <v>7.78</v>
      </c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9" t="n">
        <v>7.78</v>
      </c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33" t="n"/>
      <c r="AH129" s="33" t="n"/>
      <c r="AI129" s="33" t="n"/>
      <c r="AJ129" s="50" t="inlineStr">
        <is>
          <t>Total per unit: 7.78 lm</t>
        </is>
      </c>
      <c r="AK129" s="33" t="n"/>
      <c r="AL129" s="33" t="n"/>
    </row>
    <row r="130" ht="28" customHeight="1">
      <c r="A130" s="42" t="n"/>
      <c r="B130" s="42" t="n"/>
      <c r="C130" s="43" t="inlineStr">
        <is>
          <t>Shutter</t>
        </is>
      </c>
      <c r="D130" s="42" t="n"/>
      <c r="E130" s="42" t="n"/>
      <c r="F130" s="44" t="n">
        <v>1.15</v>
      </c>
      <c r="G130" s="44" t="inlineStr"/>
      <c r="H130" s="44" t="n">
        <v>0.8</v>
      </c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33" t="n"/>
      <c r="AL130" s="33" t="n"/>
    </row>
    <row r="131" ht="16" customHeight="1">
      <c r="A131" s="45" t="n"/>
      <c r="B131" s="46" t="inlineStr">
        <is>
          <t>E8</t>
        </is>
      </c>
      <c r="C131" s="47" t="inlineStr">
        <is>
          <t>18mm MDF plain shutter panel</t>
        </is>
      </c>
      <c r="D131" s="46" t="inlineStr">
        <is>
          <t>M²</t>
        </is>
      </c>
      <c r="E131" s="46" t="n"/>
      <c r="F131" s="46" t="n">
        <v>1.15</v>
      </c>
      <c r="G131" s="46" t="n"/>
      <c r="H131" s="46" t="n">
        <v>0.8</v>
      </c>
      <c r="I131" s="48" t="n">
        <v>1.84</v>
      </c>
      <c r="J131" s="46" t="n"/>
      <c r="K131" s="46" t="n"/>
      <c r="L131" s="46" t="n"/>
      <c r="M131" s="46" t="n"/>
      <c r="N131" s="49" t="n">
        <v>1</v>
      </c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33" t="n"/>
      <c r="AH131" s="33" t="n"/>
      <c r="AI131" s="33" t="n"/>
      <c r="AJ131" s="50" t="inlineStr">
        <is>
          <t>Laminate PL-01 both faces = 1.84 m²</t>
        </is>
      </c>
      <c r="AK131" s="33" t="n"/>
      <c r="AL131" s="33" t="n"/>
    </row>
    <row r="132" ht="16" customHeight="1">
      <c r="A132" s="51" t="n"/>
      <c r="B132" s="52" t="inlineStr">
        <is>
          <t>E9</t>
        </is>
      </c>
      <c r="C132" s="53" t="inlineStr">
        <is>
          <t>PVC lipping to shutter edges</t>
        </is>
      </c>
      <c r="D132" s="52" t="inlineStr">
        <is>
          <t>LM</t>
        </is>
      </c>
      <c r="E132" s="52" t="n"/>
      <c r="F132" s="52" t="n"/>
      <c r="G132" s="52" t="n"/>
      <c r="H132" s="52" t="n"/>
      <c r="I132" s="54" t="n">
        <v>3.9</v>
      </c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49" t="n">
        <v>3.9</v>
      </c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5" t="n"/>
      <c r="AH132" s="55" t="n"/>
      <c r="AI132" s="55" t="n"/>
      <c r="AJ132" s="56" t="inlineStr">
        <is>
          <t>Total per unit: 3.90 lm</t>
        </is>
      </c>
      <c r="AK132" s="33" t="n"/>
      <c r="AL132" s="33" t="n"/>
    </row>
    <row r="133" ht="16" customHeight="1">
      <c r="A133" s="45" t="n"/>
      <c r="B133" s="46" t="inlineStr">
        <is>
          <t>E10</t>
        </is>
      </c>
      <c r="C133" s="47" t="inlineStr">
        <is>
          <t>Counter substrate – plywood base to countertop</t>
        </is>
      </c>
      <c r="D133" s="46" t="inlineStr">
        <is>
          <t>M²</t>
        </is>
      </c>
      <c r="E133" s="46" t="n"/>
      <c r="F133" s="46" t="n">
        <v>1.15</v>
      </c>
      <c r="G133" s="46" t="n">
        <v>0.57</v>
      </c>
      <c r="H133" s="46" t="n"/>
      <c r="I133" s="48">
        <f>F133*G133</f>
        <v/>
      </c>
      <c r="J133" s="46" t="n"/>
      <c r="K133" s="46" t="n"/>
      <c r="L133" s="46" t="n"/>
      <c r="M133" s="46" t="n"/>
      <c r="N133" s="46" t="n"/>
      <c r="O133" s="49">
        <f>I133</f>
        <v/>
      </c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33" t="n"/>
      <c r="AH133" s="33" t="n"/>
      <c r="AI133" s="33" t="n"/>
      <c r="AJ133" s="50" t="inlineStr"/>
      <c r="AK133" s="33" t="n"/>
      <c r="AL133" s="33" t="n"/>
    </row>
    <row r="134" ht="28" customHeight="1">
      <c r="A134" s="42" t="n"/>
      <c r="B134" s="42" t="n"/>
      <c r="C134" s="43" t="inlineStr">
        <is>
          <t>Side Panel</t>
        </is>
      </c>
      <c r="D134" s="42" t="n"/>
      <c r="E134" s="42" t="n"/>
      <c r="F134" s="44" t="n">
        <v>1.05</v>
      </c>
      <c r="G134" s="44" t="inlineStr"/>
      <c r="H134" s="44" t="n">
        <v>0.95</v>
      </c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33" t="n"/>
      <c r="AL134" s="33" t="n"/>
    </row>
    <row r="135" ht="16" customHeight="1">
      <c r="A135" s="45" t="n"/>
      <c r="B135" s="46" t="inlineStr">
        <is>
          <t>E11</t>
        </is>
      </c>
      <c r="C135" s="47" t="inlineStr">
        <is>
          <t>12mm MR MDF side panel</t>
        </is>
      </c>
      <c r="D135" s="46" t="inlineStr">
        <is>
          <t>M²</t>
        </is>
      </c>
      <c r="E135" s="46" t="n"/>
      <c r="F135" s="46" t="n">
        <v>1.05</v>
      </c>
      <c r="G135" s="46" t="n"/>
      <c r="H135" s="46" t="n">
        <v>0.95</v>
      </c>
      <c r="I135" s="48" t="n">
        <v>0.998</v>
      </c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9" t="n">
        <v>1</v>
      </c>
      <c r="Z135" s="46" t="n"/>
      <c r="AA135" s="46" t="n"/>
      <c r="AB135" s="46" t="n"/>
      <c r="AC135" s="46" t="n"/>
      <c r="AD135" s="46" t="n"/>
      <c r="AE135" s="46" t="n"/>
      <c r="AF135" s="46" t="n"/>
      <c r="AG135" s="33" t="n"/>
      <c r="AH135" s="33" t="n"/>
      <c r="AI135" s="33" t="n"/>
      <c r="AJ135" s="50" t="inlineStr">
        <is>
          <t>12mm MR MDF = 0.998 m²</t>
        </is>
      </c>
      <c r="AK135" s="33" t="n"/>
      <c r="AL135" s="33" t="n"/>
    </row>
    <row r="136" ht="28" customHeight="1">
      <c r="A136" s="42" t="n"/>
      <c r="B136" s="42" t="n"/>
      <c r="C136" s="43" t="inlineStr">
        <is>
          <t>End Panel</t>
        </is>
      </c>
      <c r="D136" s="42" t="n"/>
      <c r="E136" s="42" t="n"/>
      <c r="F136" s="44" t="n">
        <v>1.05</v>
      </c>
      <c r="G136" s="44" t="n">
        <v>0.026</v>
      </c>
      <c r="H136" s="44" t="n">
        <v>0.95</v>
      </c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33" t="n"/>
      <c r="AL136" s="33" t="n"/>
    </row>
    <row r="137" ht="16" customHeight="1">
      <c r="A137" s="45" t="n"/>
      <c r="B137" s="46" t="inlineStr">
        <is>
          <t>E12</t>
        </is>
      </c>
      <c r="C137" s="47" t="inlineStr">
        <is>
          <t>solid timber framing</t>
        </is>
      </c>
      <c r="D137" s="46" t="inlineStr">
        <is>
          <t>M³</t>
        </is>
      </c>
      <c r="E137" s="46" t="n"/>
      <c r="F137" s="46" t="n">
        <v>1.05</v>
      </c>
      <c r="G137" s="46" t="n">
        <v>0.026</v>
      </c>
      <c r="H137" s="46" t="n">
        <v>0.95</v>
      </c>
      <c r="I137" s="48">
        <f>F137*G137*H137</f>
        <v/>
      </c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9">
        <f>I137</f>
        <v/>
      </c>
      <c r="Z137" s="46" t="n"/>
      <c r="AA137" s="46" t="n"/>
      <c r="AB137" s="46" t="n"/>
      <c r="AC137" s="46" t="n"/>
      <c r="AD137" s="46" t="n"/>
      <c r="AE137" s="46" t="n"/>
      <c r="AF137" s="46" t="n"/>
      <c r="AG137" s="33" t="n"/>
      <c r="AH137" s="33" t="n"/>
      <c r="AI137" s="33" t="n"/>
      <c r="AJ137" s="50" t="inlineStr">
        <is>
          <t>Timber volume per unit: 0.026 m³</t>
        </is>
      </c>
      <c r="AK137" s="33" t="n"/>
      <c r="AL137" s="33" t="n"/>
    </row>
    <row r="138" ht="28" customHeight="1">
      <c r="A138" s="42" t="n"/>
      <c r="B138" s="42" t="n"/>
      <c r="C138" s="43" t="inlineStr">
        <is>
          <t>Hardware</t>
        </is>
      </c>
      <c r="D138" s="42" t="n"/>
      <c r="E138" s="42" t="n"/>
      <c r="F138" s="44" t="inlineStr"/>
      <c r="G138" s="44" t="inlineStr"/>
      <c r="H138" s="44" t="inlineStr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33" t="n"/>
      <c r="AL138" s="33" t="n"/>
    </row>
    <row r="139" ht="16" customHeight="1">
      <c r="A139" s="45" t="n"/>
      <c r="B139" s="46" t="inlineStr">
        <is>
          <t>E13</t>
        </is>
      </c>
      <c r="C139" s="47" t="inlineStr">
        <is>
          <t>Ironmongery – Full overlay soft-close hinges</t>
        </is>
      </c>
      <c r="D139" s="46" t="inlineStr">
        <is>
          <t>Nr</t>
        </is>
      </c>
      <c r="E139" s="46" t="n">
        <v>2</v>
      </c>
      <c r="F139" s="46" t="n"/>
      <c r="G139" s="46" t="n"/>
      <c r="H139" s="46" t="n"/>
      <c r="I139" s="48">
        <f>E139</f>
        <v/>
      </c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9">
        <f>I139</f>
        <v/>
      </c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33" t="n"/>
      <c r="AH139" s="33" t="n"/>
      <c r="AI139" s="33" t="n"/>
      <c r="AJ139" s="50" t="inlineStr"/>
      <c r="AK139" s="33" t="n"/>
      <c r="AL139" s="33" t="n"/>
    </row>
    <row r="140" ht="28" customHeight="1">
      <c r="A140" s="42" t="n"/>
      <c r="B140" s="42" t="n"/>
      <c r="C140" s="43" t="inlineStr">
        <is>
          <t>Drawer</t>
        </is>
      </c>
      <c r="D140" s="42" t="n"/>
      <c r="E140" s="42" t="n"/>
      <c r="F140" s="44" t="inlineStr"/>
      <c r="G140" s="44" t="inlineStr"/>
      <c r="H140" s="44" t="inlineStr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33" t="n"/>
      <c r="AL140" s="33" t="n"/>
    </row>
    <row r="141" ht="16" customHeight="1">
      <c r="A141" s="45" t="n"/>
      <c r="B141" s="46" t="inlineStr">
        <is>
          <t>E14</t>
        </is>
      </c>
      <c r="C141" s="47" t="inlineStr">
        <is>
          <t>Ironmongery – Drawer runners (nil – no drawers)</t>
        </is>
      </c>
      <c r="D141" s="46" t="inlineStr">
        <is>
          <t>Pr</t>
        </is>
      </c>
      <c r="E141" s="46" t="n">
        <v>0</v>
      </c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9" t="n">
        <v>0</v>
      </c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33" t="n"/>
      <c r="AH141" s="33" t="n"/>
      <c r="AI141" s="33" t="n"/>
      <c r="AJ141" s="50" t="inlineStr">
        <is>
          <t>No drawers</t>
        </is>
      </c>
      <c r="AK141" s="33" t="n"/>
      <c r="AL141" s="33" t="n"/>
    </row>
    <row r="142" ht="16" customHeight="1">
      <c r="A142" s="51" t="n"/>
      <c r="B142" s="52" t="inlineStr">
        <is>
          <t>E15</t>
        </is>
      </c>
      <c r="C142" s="53" t="inlineStr">
        <is>
          <t>Skirting – aluminium skirting to base of island</t>
        </is>
      </c>
      <c r="D142" s="52" t="inlineStr">
        <is>
          <t>LM</t>
        </is>
      </c>
      <c r="E142" s="52" t="n"/>
      <c r="F142" s="52" t="n"/>
      <c r="G142" s="52" t="n"/>
      <c r="H142" s="52" t="n"/>
      <c r="I142" s="54" t="n">
        <v>1.15</v>
      </c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49" t="n">
        <v>1.15</v>
      </c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5" t="n"/>
      <c r="AH142" s="55" t="n"/>
      <c r="AI142" s="55" t="n"/>
      <c r="AJ142" s="56" t="inlineStr">
        <is>
          <t>Total per unit: 1.15 lm</t>
        </is>
      </c>
      <c r="AK142" s="33" t="n"/>
      <c r="AL142" s="33" t="n"/>
    </row>
    <row r="143" ht="20" customHeight="1">
      <c r="I143" s="57" t="inlineStr">
        <is>
          <t>Per Unit</t>
        </is>
      </c>
      <c r="J143" s="58">
        <f>SUM(J122:J142)</f>
        <v/>
      </c>
      <c r="K143" s="58">
        <f>SUM(K122:K142)</f>
        <v/>
      </c>
      <c r="L143" s="58">
        <f>SUM(L122:L142)</f>
        <v/>
      </c>
      <c r="M143" s="58">
        <f>SUM(M122:M142)</f>
        <v/>
      </c>
      <c r="N143" s="58">
        <f>SUM(N122:N142)</f>
        <v/>
      </c>
      <c r="O143" s="58">
        <f>SUM(O122:O142)</f>
        <v/>
      </c>
      <c r="P143" s="58">
        <f>SUM(P122:P142)</f>
        <v/>
      </c>
      <c r="Q143" s="58">
        <f>SUM(Q122:Q142)</f>
        <v/>
      </c>
      <c r="R143" s="58">
        <f>SUM(R122:R142)</f>
        <v/>
      </c>
      <c r="S143" s="58">
        <f>SUM(S122:S142)</f>
        <v/>
      </c>
      <c r="T143" s="58">
        <f>SUM(T122:T142)</f>
        <v/>
      </c>
      <c r="U143" s="58">
        <f>SUM(U122:U142)</f>
        <v/>
      </c>
      <c r="V143" s="58">
        <f>SUM(V122:V142)</f>
        <v/>
      </c>
      <c r="W143" s="58">
        <f>SUM(W122:W142)</f>
        <v/>
      </c>
      <c r="X143" s="58">
        <f>SUM(X122:X142)</f>
        <v/>
      </c>
      <c r="Y143" s="58">
        <f>SUM(Y122:Y142)</f>
        <v/>
      </c>
      <c r="Z143" s="58">
        <f>SUM(Z122:Z142)</f>
        <v/>
      </c>
      <c r="AA143" s="58">
        <f>SUM(AA122:AA142)</f>
        <v/>
      </c>
      <c r="AB143" s="58">
        <f>SUM(AB122:AB142)</f>
        <v/>
      </c>
      <c r="AC143" s="58">
        <f>SUM(AC122:AC142)</f>
        <v/>
      </c>
      <c r="AD143" s="58">
        <f>SUM(AD122:AD142)</f>
        <v/>
      </c>
      <c r="AE143" s="58">
        <f>SUM(AE122:AE142)</f>
        <v/>
      </c>
      <c r="AF143" s="58">
        <f>SUM(AF122:AF142)</f>
        <v/>
      </c>
      <c r="AK143" s="33" t="n"/>
      <c r="AL143" s="33" t="n"/>
    </row>
    <row r="144" ht="22" customHeight="1">
      <c r="H144" s="59">
        <f>H2</f>
        <v/>
      </c>
      <c r="I144" s="60" t="inlineStr">
        <is>
          <t>Total Unit</t>
        </is>
      </c>
      <c r="J144" s="61">
        <f>J143*H2/2.88</f>
        <v/>
      </c>
      <c r="K144" s="61">
        <f>K143*H2/2.88</f>
        <v/>
      </c>
      <c r="L144" s="61">
        <f>L143*H2/2.88</f>
        <v/>
      </c>
      <c r="M144" s="61">
        <f>M143*H2/2.88</f>
        <v/>
      </c>
      <c r="N144" s="61">
        <f>N143*H2/2.88</f>
        <v/>
      </c>
      <c r="O144" s="61">
        <f>O143*H2/2.88</f>
        <v/>
      </c>
      <c r="P144" s="61">
        <f>P143*H2/2.88</f>
        <v/>
      </c>
      <c r="Q144" s="61">
        <f>Q143*H2/2.88</f>
        <v/>
      </c>
      <c r="R144" s="61">
        <f>R143*H2</f>
        <v/>
      </c>
      <c r="S144" s="61">
        <f>S143*H2</f>
        <v/>
      </c>
      <c r="T144" s="61">
        <f>T143*H2/2.88</f>
        <v/>
      </c>
      <c r="U144" s="61">
        <f>U143*H2/2.88</f>
        <v/>
      </c>
      <c r="V144" s="61">
        <f>V143*H2/2.88</f>
        <v/>
      </c>
      <c r="W144" s="61">
        <f>W143*H2/2.88</f>
        <v/>
      </c>
      <c r="X144" s="61">
        <f>X143*H2/2.88</f>
        <v/>
      </c>
      <c r="Y144" s="61">
        <f>Y143*H2/2.88</f>
        <v/>
      </c>
      <c r="Z144" s="61">
        <f>Z143*H2/2.88</f>
        <v/>
      </c>
      <c r="AA144" s="61">
        <f>AA143*H2</f>
        <v/>
      </c>
      <c r="AB144" s="61">
        <f>AB143*H2</f>
        <v/>
      </c>
      <c r="AC144" s="61">
        <f>AC143*H2</f>
        <v/>
      </c>
      <c r="AD144" s="61">
        <f>AD143*H2</f>
        <v/>
      </c>
      <c r="AE144" s="61">
        <f>AE143*H2</f>
        <v/>
      </c>
      <c r="AF144" s="61">
        <f>AF143*H2</f>
        <v/>
      </c>
      <c r="AK144" s="33" t="n"/>
      <c r="AL144" s="33" t="n"/>
    </row>
    <row r="145" ht="10" customHeight="1">
      <c r="AK145" s="33" t="n"/>
      <c r="AL145" s="33" t="n"/>
    </row>
    <row r="146" ht="32" customHeight="1">
      <c r="A146" s="36" t="n"/>
      <c r="B146" s="37" t="inlineStr">
        <is>
          <t xml:space="preserve">  FIXTURES  </t>
        </is>
      </c>
      <c r="C146" s="38" t="inlineStr">
        <is>
          <t>KITCHEN FIXTURES</t>
        </is>
      </c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3" t="n"/>
      <c r="AL146" s="33" t="n"/>
    </row>
    <row r="147" ht="60" customHeight="1">
      <c r="A147" s="40" t="inlineStr"/>
      <c r="B147" s="40" t="inlineStr">
        <is>
          <t>S.No</t>
        </is>
      </c>
      <c r="C147" s="40" t="inlineStr">
        <is>
          <t>Description</t>
        </is>
      </c>
      <c r="D147" s="40" t="inlineStr">
        <is>
          <t>Unit</t>
        </is>
      </c>
      <c r="E147" s="40" t="inlineStr">
        <is>
          <t>Times</t>
        </is>
      </c>
      <c r="F147" s="40" t="inlineStr">
        <is>
          <t>L</t>
        </is>
      </c>
      <c r="G147" s="40" t="inlineStr">
        <is>
          <t>W</t>
        </is>
      </c>
      <c r="H147" s="40" t="inlineStr">
        <is>
          <t>H</t>
        </is>
      </c>
      <c r="I147" s="40" t="inlineStr">
        <is>
          <t>Total QTY</t>
        </is>
      </c>
      <c r="J147" s="40" t="inlineStr">
        <is>
          <t>6mm both
Melamine MR MDF Sheet</t>
        </is>
      </c>
      <c r="K147" s="40" t="inlineStr">
        <is>
          <t>9mm both Melamine
MR MDF Sheet</t>
        </is>
      </c>
      <c r="L147" s="40" t="inlineStr">
        <is>
          <t>12mm both Melamine
MR MDF Sheet</t>
        </is>
      </c>
      <c r="M147" s="40" t="inlineStr">
        <is>
          <t>18mm both Melamine
MR MDF Sheet</t>
        </is>
      </c>
      <c r="N147" s="40" t="inlineStr">
        <is>
          <t>18mm Plain
MR MDF Sheet</t>
        </is>
      </c>
      <c r="O147" s="40" t="inlineStr">
        <is>
          <t>Plywood</t>
        </is>
      </c>
      <c r="P147" s="40" t="inlineStr">
        <is>
          <t>25mm Plain MR MDF</t>
        </is>
      </c>
      <c r="Q147" s="40" t="inlineStr">
        <is>
          <t>PL-01
Laminate (0.8mm)</t>
        </is>
      </c>
      <c r="R147" s="40" t="inlineStr">
        <is>
          <t>Full overlay
Hinges</t>
        </is>
      </c>
      <c r="S147" s="40" t="inlineStr">
        <is>
          <t>Drawer Runner
(0.5m)</t>
        </is>
      </c>
      <c r="T147" s="40" t="inlineStr">
        <is>
          <t>PVC Lipping
Gray Melamine</t>
        </is>
      </c>
      <c r="U147" s="40" t="inlineStr">
        <is>
          <t>PVC Lipping
25mm</t>
        </is>
      </c>
      <c r="V147" s="40" t="inlineStr">
        <is>
          <t>PVC Lipping
18mm</t>
        </is>
      </c>
      <c r="W147" s="40" t="inlineStr">
        <is>
          <t>Aluminium
Skirting</t>
        </is>
      </c>
      <c r="X147" s="40" t="inlineStr">
        <is>
          <t>PVC Lipping
12mm</t>
        </is>
      </c>
      <c r="Y147" s="40" t="inlineStr">
        <is>
          <t>12mm MR MDF</t>
        </is>
      </c>
      <c r="Z147" s="40" t="inlineStr">
        <is>
          <t>Timber (M³)</t>
        </is>
      </c>
      <c r="AA147" s="40" t="inlineStr">
        <is>
          <t>Kitchen Mixer
Tap</t>
        </is>
      </c>
      <c r="AB147" s="40" t="inlineStr">
        <is>
          <t>Exhaust
Fan</t>
        </is>
      </c>
      <c r="AC147" s="40" t="inlineStr">
        <is>
          <t>Gas Hob
(4 Burner)</t>
        </is>
      </c>
      <c r="AD147" s="40" t="inlineStr">
        <is>
          <t>Built-in
Oven</t>
        </is>
      </c>
      <c r="AE147" s="40" t="inlineStr">
        <is>
          <t>Stainless
Steel Sink</t>
        </is>
      </c>
      <c r="AF147" s="40" t="inlineStr">
        <is>
          <t>Cabinet
Handle</t>
        </is>
      </c>
      <c r="AG147" s="41" t="n"/>
      <c r="AH147" s="41" t="n"/>
      <c r="AI147" s="41" t="n"/>
      <c r="AJ147" s="40" t="inlineStr">
        <is>
          <t>Remarks</t>
        </is>
      </c>
      <c r="AK147" s="33" t="n"/>
      <c r="AL147" s="33" t="n"/>
    </row>
    <row r="148" ht="16" customHeight="1">
      <c r="A148" s="45" t="n"/>
      <c r="B148" s="46" t="inlineStr">
        <is>
          <t>F1</t>
        </is>
      </c>
      <c r="C148" s="47" t="inlineStr">
        <is>
          <t>Kitchen mixer tap with pull-out spray</t>
        </is>
      </c>
      <c r="D148" s="46" t="inlineStr">
        <is>
          <t>Each</t>
        </is>
      </c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9" t="n">
        <v>1</v>
      </c>
      <c r="AB148" s="46" t="n"/>
      <c r="AC148" s="46" t="n"/>
      <c r="AD148" s="46" t="n"/>
      <c r="AE148" s="46" t="n"/>
      <c r="AF148" s="46" t="n"/>
      <c r="AG148" s="33" t="n"/>
      <c r="AH148" s="33" t="n"/>
      <c r="AI148" s="33" t="n"/>
      <c r="AJ148" s="50" t="inlineStr">
        <is>
          <t>Supply and installation per kitchen unit</t>
        </is>
      </c>
      <c r="AK148" s="33" t="n"/>
      <c r="AL148" s="33" t="n"/>
    </row>
    <row r="149" ht="16" customHeight="1">
      <c r="A149" s="51" t="n"/>
      <c r="B149" s="52" t="inlineStr">
        <is>
          <t>F2</t>
        </is>
      </c>
      <c r="C149" s="53" t="inlineStr">
        <is>
          <t>Exhaust fan</t>
        </is>
      </c>
      <c r="D149" s="52" t="inlineStr">
        <is>
          <t>Each</t>
        </is>
      </c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49" t="n">
        <v>1</v>
      </c>
      <c r="AC149" s="52" t="n"/>
      <c r="AD149" s="52" t="n"/>
      <c r="AE149" s="52" t="n"/>
      <c r="AF149" s="52" t="n"/>
      <c r="AG149" s="55" t="n"/>
      <c r="AH149" s="55" t="n"/>
      <c r="AI149" s="55" t="n"/>
      <c r="AJ149" s="56" t="inlineStr">
        <is>
          <t>Over cooktop location</t>
        </is>
      </c>
      <c r="AK149" s="33" t="n"/>
      <c r="AL149" s="33" t="n"/>
    </row>
    <row r="150" ht="16" customHeight="1">
      <c r="A150" s="45" t="n"/>
      <c r="B150" s="46" t="inlineStr">
        <is>
          <t>F3</t>
        </is>
      </c>
      <c r="C150" s="47" t="inlineStr">
        <is>
          <t>Gas hob</t>
        </is>
      </c>
      <c r="D150" s="46" t="inlineStr">
        <is>
          <t>Each</t>
        </is>
      </c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 t="n"/>
      <c r="AC150" s="49" t="n">
        <v>1</v>
      </c>
      <c r="AD150" s="46" t="n"/>
      <c r="AE150" s="46" t="n"/>
      <c r="AF150" s="46" t="n"/>
      <c r="AG150" s="33" t="n"/>
      <c r="AH150" s="33" t="n"/>
      <c r="AI150" s="33" t="n"/>
      <c r="AJ150" s="50" t="inlineStr">
        <is>
          <t>Built-in installation</t>
        </is>
      </c>
      <c r="AK150" s="33" t="n"/>
      <c r="AL150" s="33" t="n"/>
    </row>
    <row r="151" ht="16" customHeight="1">
      <c r="A151" s="51" t="n"/>
      <c r="B151" s="52" t="inlineStr">
        <is>
          <t>F4</t>
        </is>
      </c>
      <c r="C151" s="53" t="inlineStr">
        <is>
          <t>Built-in oven</t>
        </is>
      </c>
      <c r="D151" s="52" t="inlineStr">
        <is>
          <t>Each</t>
        </is>
      </c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49" t="n">
        <v>1</v>
      </c>
      <c r="AE151" s="52" t="n"/>
      <c r="AF151" s="52" t="n"/>
      <c r="AG151" s="55" t="n"/>
      <c r="AH151" s="55" t="n"/>
      <c r="AI151" s="55" t="n"/>
      <c r="AJ151" s="56" t="inlineStr">
        <is>
          <t>Under counter installation</t>
        </is>
      </c>
      <c r="AK151" s="33" t="n"/>
      <c r="AL151" s="33" t="n"/>
    </row>
    <row r="152" ht="16" customHeight="1">
      <c r="A152" s="45" t="n"/>
      <c r="B152" s="46" t="inlineStr">
        <is>
          <t>F5</t>
        </is>
      </c>
      <c r="C152" s="47" t="inlineStr">
        <is>
          <t>Stainless steel sink</t>
        </is>
      </c>
      <c r="D152" s="46" t="inlineStr">
        <is>
          <t>Each</t>
        </is>
      </c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 t="n"/>
      <c r="AC152" s="46" t="n"/>
      <c r="AD152" s="46" t="n"/>
      <c r="AE152" s="49" t="n">
        <v>1</v>
      </c>
      <c r="AF152" s="46" t="n"/>
      <c r="AG152" s="33" t="n"/>
      <c r="AH152" s="33" t="n"/>
      <c r="AI152" s="33" t="n"/>
      <c r="AJ152" s="50" t="inlineStr">
        <is>
          <t>Includes waste kit</t>
        </is>
      </c>
      <c r="AK152" s="33" t="n"/>
      <c r="AL152" s="33" t="n"/>
    </row>
    <row r="153" ht="16" customHeight="1">
      <c r="A153" s="51" t="n"/>
      <c r="B153" s="52" t="inlineStr">
        <is>
          <t>F6</t>
        </is>
      </c>
      <c r="C153" s="53" t="inlineStr">
        <is>
          <t>Cabinet handles</t>
        </is>
      </c>
      <c r="D153" s="52" t="inlineStr">
        <is>
          <t>Each</t>
        </is>
      </c>
      <c r="E153" s="52" t="n">
        <v>15</v>
      </c>
      <c r="F153" s="52" t="n"/>
      <c r="G153" s="52" t="n"/>
      <c r="H153" s="52" t="n"/>
      <c r="I153" s="54">
        <f>E153</f>
        <v/>
      </c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49">
        <f>I153</f>
        <v/>
      </c>
      <c r="AG153" s="55" t="n"/>
      <c r="AH153" s="55" t="n"/>
      <c r="AI153" s="55" t="n"/>
      <c r="AJ153" s="56" t="inlineStr">
        <is>
          <t>2 per drawer, 1 per door</t>
        </is>
      </c>
      <c r="AK153" s="33" t="n"/>
      <c r="AL153" s="33" t="n"/>
    </row>
    <row r="154" ht="20" customHeight="1">
      <c r="I154" s="57" t="inlineStr">
        <is>
          <t>Per Unit</t>
        </is>
      </c>
      <c r="J154" s="58">
        <f>SUM(J148:J153)</f>
        <v/>
      </c>
      <c r="K154" s="58">
        <f>SUM(K148:K153)</f>
        <v/>
      </c>
      <c r="L154" s="58">
        <f>SUM(L148:L153)</f>
        <v/>
      </c>
      <c r="M154" s="58">
        <f>SUM(M148:M153)</f>
        <v/>
      </c>
      <c r="N154" s="58">
        <f>SUM(N148:N153)</f>
        <v/>
      </c>
      <c r="O154" s="58">
        <f>SUM(O148:O153)</f>
        <v/>
      </c>
      <c r="P154" s="58">
        <f>SUM(P148:P153)</f>
        <v/>
      </c>
      <c r="Q154" s="58">
        <f>SUM(Q148:Q153)</f>
        <v/>
      </c>
      <c r="R154" s="58">
        <f>SUM(R148:R153)</f>
        <v/>
      </c>
      <c r="S154" s="58">
        <f>SUM(S148:S153)</f>
        <v/>
      </c>
      <c r="T154" s="58">
        <f>SUM(T148:T153)</f>
        <v/>
      </c>
      <c r="U154" s="58">
        <f>SUM(U148:U153)</f>
        <v/>
      </c>
      <c r="V154" s="58">
        <f>SUM(V148:V153)</f>
        <v/>
      </c>
      <c r="W154" s="58">
        <f>SUM(W148:W153)</f>
        <v/>
      </c>
      <c r="X154" s="58">
        <f>SUM(X148:X153)</f>
        <v/>
      </c>
      <c r="Y154" s="58">
        <f>SUM(Y148:Y153)</f>
        <v/>
      </c>
      <c r="Z154" s="58">
        <f>SUM(Z148:Z153)</f>
        <v/>
      </c>
      <c r="AA154" s="58">
        <f>SUM(AA148:AA153)</f>
        <v/>
      </c>
      <c r="AB154" s="58">
        <f>SUM(AB148:AB153)</f>
        <v/>
      </c>
      <c r="AC154" s="58">
        <f>SUM(AC148:AC153)</f>
        <v/>
      </c>
      <c r="AD154" s="58">
        <f>SUM(AD148:AD153)</f>
        <v/>
      </c>
      <c r="AE154" s="58">
        <f>SUM(AE148:AE153)</f>
        <v/>
      </c>
      <c r="AF154" s="58">
        <f>SUM(AF148:AF153)</f>
        <v/>
      </c>
      <c r="AK154" s="33" t="n"/>
      <c r="AL154" s="33" t="n"/>
    </row>
    <row r="155" ht="22" customHeight="1">
      <c r="H155" s="59">
        <f>H2</f>
        <v/>
      </c>
      <c r="I155" s="60" t="inlineStr">
        <is>
          <t>Total Unit</t>
        </is>
      </c>
      <c r="J155" s="61">
        <f>J154*H2/2.88</f>
        <v/>
      </c>
      <c r="K155" s="61">
        <f>K154*H2/2.88</f>
        <v/>
      </c>
      <c r="L155" s="61">
        <f>L154*H2/2.88</f>
        <v/>
      </c>
      <c r="M155" s="61">
        <f>M154*H2/2.88</f>
        <v/>
      </c>
      <c r="N155" s="61">
        <f>N154*H2/2.88</f>
        <v/>
      </c>
      <c r="O155" s="61">
        <f>O154*H2/2.88</f>
        <v/>
      </c>
      <c r="P155" s="61">
        <f>P154*H2/2.88</f>
        <v/>
      </c>
      <c r="Q155" s="61">
        <f>Q154*H2/2.88</f>
        <v/>
      </c>
      <c r="R155" s="61">
        <f>R154*H2</f>
        <v/>
      </c>
      <c r="S155" s="61">
        <f>S154*H2</f>
        <v/>
      </c>
      <c r="T155" s="61">
        <f>T154*H2/2.88</f>
        <v/>
      </c>
      <c r="U155" s="61">
        <f>U154*H2/2.88</f>
        <v/>
      </c>
      <c r="V155" s="61">
        <f>V154*H2/2.88</f>
        <v/>
      </c>
      <c r="W155" s="61">
        <f>W154*H2/2.88</f>
        <v/>
      </c>
      <c r="X155" s="61">
        <f>X154*H2/2.88</f>
        <v/>
      </c>
      <c r="Y155" s="61">
        <f>Y154*H2/2.88</f>
        <v/>
      </c>
      <c r="Z155" s="61">
        <f>Z154*H2/2.88</f>
        <v/>
      </c>
      <c r="AA155" s="61">
        <f>AA154*H2</f>
        <v/>
      </c>
      <c r="AB155" s="61">
        <f>AB154*H2</f>
        <v/>
      </c>
      <c r="AC155" s="61">
        <f>AC154*H2</f>
        <v/>
      </c>
      <c r="AD155" s="61">
        <f>AD154*H2</f>
        <v/>
      </c>
      <c r="AE155" s="61">
        <f>AE154*H2</f>
        <v/>
      </c>
      <c r="AF155" s="61">
        <f>AF154*H2</f>
        <v/>
      </c>
      <c r="AK155" s="33" t="n"/>
      <c r="AL155" s="33" t="n"/>
    </row>
    <row r="156" ht="10" customHeight="1">
      <c r="AK156" s="33" t="n"/>
      <c r="AL156" s="33" t="n"/>
    </row>
    <row r="157" ht="10" customHeight="1">
      <c r="AK157" s="33" t="n"/>
      <c r="AL157" s="33" t="n"/>
    </row>
    <row r="158" ht="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33" t="n"/>
      <c r="AL158" s="33" t="n"/>
    </row>
    <row r="159" ht="26" customHeight="1">
      <c r="A159" s="62" t="inlineStr">
        <is>
          <t>PROJECT TOTALS  —  All Sections</t>
        </is>
      </c>
      <c r="AK159" s="33" t="n"/>
      <c r="AL159" s="33" t="n"/>
    </row>
    <row r="160" ht="28" customHeight="1">
      <c r="I160" s="63" t="inlineStr">
        <is>
          <t>Total QTY</t>
        </is>
      </c>
      <c r="J160" s="64">
        <f>J33+J54+J82+J118+J144+J155</f>
        <v/>
      </c>
      <c r="K160" s="64">
        <f>K33+K54+K82+K118+K144+K155</f>
        <v/>
      </c>
      <c r="L160" s="64">
        <f>L33+L54+L82+L118+L144+L155</f>
        <v/>
      </c>
      <c r="M160" s="64">
        <f>M33+M54+M82+M118+M144+M155</f>
        <v/>
      </c>
      <c r="N160" s="64">
        <f>N33+N54+N82+N118+N144+N155</f>
        <v/>
      </c>
      <c r="O160" s="64">
        <f>O33+O54+O82+O118+O144+O155</f>
        <v/>
      </c>
      <c r="P160" s="64">
        <f>P33+P54+P82+P118+P144+P155</f>
        <v/>
      </c>
      <c r="Q160" s="64">
        <f>Q33+Q54+Q82+Q118+Q144+Q155</f>
        <v/>
      </c>
      <c r="R160" s="64">
        <f>R33+R54+R82+R118+R144+R155</f>
        <v/>
      </c>
      <c r="S160" s="64">
        <f>S33+S54+S82+S118+S144+S155</f>
        <v/>
      </c>
      <c r="T160" s="64">
        <f>T33+T54+T82+T118+T144+T155</f>
        <v/>
      </c>
      <c r="U160" s="64">
        <f>U33+U54+U82+U118+U144+U155</f>
        <v/>
      </c>
      <c r="V160" s="64">
        <f>V33+V54+V82+V118+V144+V155</f>
        <v/>
      </c>
      <c r="W160" s="64">
        <f>W33+W54+W82+W118+W144+W155</f>
        <v/>
      </c>
      <c r="X160" s="64">
        <f>X33+X54+X82+X118+X144+X155</f>
        <v/>
      </c>
      <c r="Y160" s="64">
        <f>Y33+Y54+Y82+Y118+Y144+Y155</f>
        <v/>
      </c>
      <c r="Z160" s="64">
        <f>Z33+Z54+Z82+Z118+Z144+Z155</f>
        <v/>
      </c>
      <c r="AA160" s="64">
        <f>AA33+AA54+AA82+AA118+AA144+AA155</f>
        <v/>
      </c>
      <c r="AB160" s="64">
        <f>AB33+AB54+AB82+AB118+AB144+AB155</f>
        <v/>
      </c>
      <c r="AC160" s="64">
        <f>AC33+AC54+AC82+AC118+AC144+AC155</f>
        <v/>
      </c>
      <c r="AD160" s="64">
        <f>AD33+AD54+AD82+AD118+AD144+AD155</f>
        <v/>
      </c>
      <c r="AE160" s="64">
        <f>AE33+AE54+AE82+AE118+AE144+AE155</f>
        <v/>
      </c>
      <c r="AF160" s="64">
        <f>AF33+AF54+AF82+AF118+AF144+AF155</f>
        <v/>
      </c>
      <c r="AK160" s="33" t="n"/>
      <c r="AL160" s="33" t="n"/>
    </row>
    <row r="161" ht="56" customHeight="1">
      <c r="J161" s="65" t="inlineStr">
        <is>
          <t>6mm both
Melamine MR MDF Sheet</t>
        </is>
      </c>
      <c r="K161" s="65" t="inlineStr">
        <is>
          <t>9mm both Melamine
MR MDF Sheet</t>
        </is>
      </c>
      <c r="L161" s="65" t="inlineStr">
        <is>
          <t>12mm both Melamine
MR MDF Sheet</t>
        </is>
      </c>
      <c r="M161" s="65" t="inlineStr">
        <is>
          <t>18mm both Melamine
MR MDF Sheet</t>
        </is>
      </c>
      <c r="N161" s="65" t="inlineStr">
        <is>
          <t>18mm Plain
MR MDF Sheet</t>
        </is>
      </c>
      <c r="O161" s="65" t="inlineStr">
        <is>
          <t>Plywood</t>
        </is>
      </c>
      <c r="P161" s="65" t="inlineStr">
        <is>
          <t>25mm Plain MR MDF</t>
        </is>
      </c>
      <c r="Q161" s="65" t="inlineStr">
        <is>
          <t>PL-01
Laminate (0.8mm)</t>
        </is>
      </c>
      <c r="R161" s="65" t="inlineStr">
        <is>
          <t>Full overlay
Hinges</t>
        </is>
      </c>
      <c r="S161" s="65" t="inlineStr">
        <is>
          <t>Drawer Runner
(0.5m)</t>
        </is>
      </c>
      <c r="T161" s="65" t="inlineStr">
        <is>
          <t>PVC Lipping
Gray Melamine</t>
        </is>
      </c>
      <c r="U161" s="65" t="inlineStr">
        <is>
          <t>PVC Lipping
25mm</t>
        </is>
      </c>
      <c r="V161" s="65" t="inlineStr">
        <is>
          <t>PVC Lipping
18mm</t>
        </is>
      </c>
      <c r="W161" s="65" t="inlineStr">
        <is>
          <t>Aluminium
Skirting</t>
        </is>
      </c>
      <c r="X161" s="65" t="inlineStr">
        <is>
          <t>PVC Lipping
12mm</t>
        </is>
      </c>
      <c r="Y161" s="65" t="inlineStr">
        <is>
          <t>12mm MR MDF</t>
        </is>
      </c>
      <c r="Z161" s="65" t="inlineStr">
        <is>
          <t>Timber (M³)</t>
        </is>
      </c>
      <c r="AA161" s="65" t="inlineStr">
        <is>
          <t>Kitchen Mixer
Tap</t>
        </is>
      </c>
      <c r="AB161" s="65" t="inlineStr">
        <is>
          <t>Exhaust
Fan</t>
        </is>
      </c>
      <c r="AC161" s="65" t="inlineStr">
        <is>
          <t>Gas Hob
(4 Burner)</t>
        </is>
      </c>
      <c r="AD161" s="65" t="inlineStr">
        <is>
          <t>Built-in
Oven</t>
        </is>
      </c>
      <c r="AE161" s="65" t="inlineStr">
        <is>
          <t>Stainless
Steel Sink</t>
        </is>
      </c>
      <c r="AF161" s="65" t="inlineStr">
        <is>
          <t>Cabinet
Handle</t>
        </is>
      </c>
      <c r="AK161" s="33" t="n"/>
      <c r="AL161" s="33" t="n"/>
    </row>
    <row r="162" ht="8" customHeight="1">
      <c r="A162" s="33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3" t="n"/>
      <c r="X162" s="33" t="n"/>
      <c r="Y162" s="33" t="n"/>
      <c r="Z162" s="33" t="n"/>
      <c r="AA162" s="33" t="n"/>
      <c r="AB162" s="33" t="n"/>
      <c r="AC162" s="33" t="n"/>
      <c r="AD162" s="33" t="n"/>
      <c r="AE162" s="33" t="n"/>
      <c r="AF162" s="33" t="n"/>
      <c r="AG162" s="33" t="n"/>
      <c r="AH162" s="33" t="n"/>
      <c r="AI162" s="33" t="n"/>
      <c r="AJ162" s="33" t="n"/>
      <c r="AK162" s="33" t="n"/>
      <c r="AL162" s="33" t="n"/>
    </row>
    <row r="163" ht="8" customHeight="1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3" t="n"/>
      <c r="X163" s="33" t="n"/>
      <c r="Y163" s="33" t="n"/>
      <c r="Z163" s="33" t="n"/>
      <c r="AA163" s="33" t="n"/>
      <c r="AB163" s="33" t="n"/>
      <c r="AC163" s="33" t="n"/>
      <c r="AD163" s="33" t="n"/>
      <c r="AE163" s="33" t="n"/>
      <c r="AF163" s="33" t="n"/>
      <c r="AG163" s="33" t="n"/>
      <c r="AH163" s="33" t="n"/>
      <c r="AI163" s="33" t="n"/>
      <c r="AJ163" s="33" t="n"/>
      <c r="AK163" s="33" t="n"/>
      <c r="AL163" s="33" t="n"/>
    </row>
    <row r="164" ht="8" customHeight="1">
      <c r="A164" s="33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  <c r="Y164" s="33" t="n"/>
      <c r="Z164" s="33" t="n"/>
      <c r="AA164" s="33" t="n"/>
      <c r="AB164" s="33" t="n"/>
      <c r="AC164" s="33" t="n"/>
      <c r="AD164" s="33" t="n"/>
      <c r="AE164" s="33" t="n"/>
      <c r="AF164" s="33" t="n"/>
      <c r="AG164" s="33" t="n"/>
      <c r="AH164" s="33" t="n"/>
      <c r="AI164" s="33" t="n"/>
      <c r="AJ164" s="33" t="n"/>
      <c r="AK164" s="33" t="n"/>
      <c r="AL164" s="33" t="n"/>
    </row>
    <row r="165" ht="8" customHeight="1">
      <c r="A165" s="33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3" t="n"/>
      <c r="X165" s="33" t="n"/>
      <c r="Y165" s="33" t="n"/>
      <c r="Z165" s="33" t="n"/>
      <c r="AA165" s="33" t="n"/>
      <c r="AB165" s="33" t="n"/>
      <c r="AC165" s="33" t="n"/>
      <c r="AD165" s="33" t="n"/>
      <c r="AE165" s="33" t="n"/>
      <c r="AF165" s="33" t="n"/>
      <c r="AG165" s="33" t="n"/>
      <c r="AH165" s="33" t="n"/>
      <c r="AI165" s="33" t="n"/>
      <c r="AJ165" s="33" t="n"/>
      <c r="AK165" s="33" t="n"/>
      <c r="AL165" s="33" t="n"/>
    </row>
    <row r="166" ht="8" customHeight="1">
      <c r="A166" s="33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  <c r="Y166" s="33" t="n"/>
      <c r="Z166" s="33" t="n"/>
      <c r="AA166" s="33" t="n"/>
      <c r="AB166" s="33" t="n"/>
      <c r="AC166" s="33" t="n"/>
      <c r="AD166" s="33" t="n"/>
      <c r="AE166" s="33" t="n"/>
      <c r="AF166" s="33" t="n"/>
      <c r="AG166" s="33" t="n"/>
      <c r="AH166" s="33" t="n"/>
      <c r="AI166" s="33" t="n"/>
      <c r="AJ166" s="33" t="n"/>
      <c r="AK166" s="33" t="n"/>
      <c r="AL166" s="33" t="n"/>
    </row>
    <row r="167" ht="8" customHeight="1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3" t="n"/>
      <c r="X167" s="33" t="n"/>
      <c r="Y167" s="33" t="n"/>
      <c r="Z167" s="33" t="n"/>
      <c r="AA167" s="33" t="n"/>
      <c r="AB167" s="33" t="n"/>
      <c r="AC167" s="33" t="n"/>
      <c r="AD167" s="33" t="n"/>
      <c r="AE167" s="33" t="n"/>
      <c r="AF167" s="33" t="n"/>
      <c r="AG167" s="33" t="n"/>
      <c r="AH167" s="33" t="n"/>
      <c r="AI167" s="33" t="n"/>
      <c r="AJ167" s="33" t="n"/>
      <c r="AK167" s="33" t="n"/>
      <c r="AL167" s="33" t="n"/>
    </row>
    <row r="168" ht="8" customHeight="1">
      <c r="A168" s="33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3" t="n"/>
      <c r="X168" s="33" t="n"/>
      <c r="Y168" s="33" t="n"/>
      <c r="Z168" s="33" t="n"/>
      <c r="AA168" s="33" t="n"/>
      <c r="AB168" s="33" t="n"/>
      <c r="AC168" s="33" t="n"/>
      <c r="AD168" s="33" t="n"/>
      <c r="AE168" s="33" t="n"/>
      <c r="AF168" s="33" t="n"/>
      <c r="AG168" s="33" t="n"/>
      <c r="AH168" s="33" t="n"/>
      <c r="AI168" s="33" t="n"/>
      <c r="AJ168" s="33" t="n"/>
      <c r="AK168" s="33" t="n"/>
      <c r="AL168" s="33" t="n"/>
    </row>
    <row r="169" ht="8" customHeight="1">
      <c r="A169" s="33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3" t="n"/>
      <c r="X169" s="33" t="n"/>
      <c r="Y169" s="33" t="n"/>
      <c r="Z169" s="33" t="n"/>
      <c r="AA169" s="33" t="n"/>
      <c r="AB169" s="33" t="n"/>
      <c r="AC169" s="33" t="n"/>
      <c r="AD169" s="33" t="n"/>
      <c r="AE169" s="33" t="n"/>
      <c r="AF169" s="33" t="n"/>
      <c r="AG169" s="33" t="n"/>
      <c r="AH169" s="33" t="n"/>
      <c r="AI169" s="33" t="n"/>
      <c r="AJ169" s="33" t="n"/>
      <c r="AK169" s="33" t="n"/>
      <c r="AL169" s="33" t="n"/>
    </row>
    <row r="170" ht="8" customHeight="1">
      <c r="A170" s="33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3" t="n"/>
      <c r="X170" s="33" t="n"/>
      <c r="Y170" s="33" t="n"/>
      <c r="Z170" s="33" t="n"/>
      <c r="AA170" s="33" t="n"/>
      <c r="AB170" s="33" t="n"/>
      <c r="AC170" s="33" t="n"/>
      <c r="AD170" s="33" t="n"/>
      <c r="AE170" s="33" t="n"/>
      <c r="AF170" s="33" t="n"/>
      <c r="AG170" s="33" t="n"/>
      <c r="AH170" s="33" t="n"/>
      <c r="AI170" s="33" t="n"/>
      <c r="AJ170" s="33" t="n"/>
      <c r="AK170" s="33" t="n"/>
      <c r="AL170" s="33" t="n"/>
    </row>
    <row r="171" ht="8" customHeight="1">
      <c r="A171" s="33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  <c r="Y171" s="33" t="n"/>
      <c r="Z171" s="33" t="n"/>
      <c r="AA171" s="33" t="n"/>
      <c r="AB171" s="33" t="n"/>
      <c r="AC171" s="33" t="n"/>
      <c r="AD171" s="33" t="n"/>
      <c r="AE171" s="33" t="n"/>
      <c r="AF171" s="33" t="n"/>
      <c r="AG171" s="33" t="n"/>
      <c r="AH171" s="33" t="n"/>
      <c r="AI171" s="33" t="n"/>
      <c r="AJ171" s="33" t="n"/>
      <c r="AK171" s="33" t="n"/>
      <c r="AL171" s="33" t="n"/>
    </row>
  </sheetData>
  <mergeCells count="2">
    <mergeCell ref="A159:AJ159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2026-05-05T07:18:49Z</dcterms:created>
  <dcterms:modified xsi:type="dcterms:W3CDTF">2026-05-05T07:18:50Z</dcterms:modified>
</cp:coreProperties>
</file>